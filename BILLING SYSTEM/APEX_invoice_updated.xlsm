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filterPrivacy="1" codeName="ThisWorkbook"/>
  <xr:revisionPtr revIDLastSave="0" documentId="13_ncr:1_{AB9CBECA-9C7A-46EF-9720-4C64069C77B0}" xr6:coauthVersionLast="47" xr6:coauthVersionMax="47" xr10:uidLastSave="{00000000-0000-0000-0000-000000000000}"/>
  <bookViews>
    <workbookView xWindow="-108" yWindow="-108" windowWidth="23256" windowHeight="12576" tabRatio="581" xr2:uid="{00000000-000D-0000-FFFF-FFFF00000000}"/>
  </bookViews>
  <sheets>
    <sheet name="tax invoice" sheetId="1" r:id="rId1"/>
    <sheet name="stock" sheetId="3" r:id="rId2"/>
    <sheet name="sales" sheetId="2" r:id="rId3"/>
    <sheet name="blank" sheetId="4" r:id="rId4"/>
  </sheets>
  <definedNames>
    <definedName name="_xlnm.Print_Area" localSheetId="0">'tax invoice'!$A$1:$I$36</definedName>
  </definedNames>
  <calcPr calcId="181029"/>
</workbook>
</file>

<file path=xl/calcChain.xml><?xml version="1.0" encoding="utf-8"?>
<calcChain xmlns="http://schemas.openxmlformats.org/spreadsheetml/2006/main">
  <c r="G3" i="1" l="1"/>
  <c r="B16" i="1"/>
  <c r="B15" i="1"/>
  <c r="B23" i="1"/>
  <c r="B24" i="1"/>
  <c r="D17" i="1"/>
  <c r="D18" i="1"/>
  <c r="D19" i="1"/>
  <c r="D20" i="1"/>
  <c r="D21" i="1"/>
  <c r="D22" i="1"/>
  <c r="D23" i="1"/>
  <c r="D24" i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15" i="1"/>
  <c r="F16" i="1"/>
  <c r="G16" i="1" s="1"/>
  <c r="D16" i="1"/>
  <c r="D15" i="1"/>
  <c r="A16" i="1"/>
  <c r="A17" i="1" s="1"/>
  <c r="A18" i="1" s="1"/>
  <c r="A19" i="1" s="1"/>
  <c r="A20" i="1" s="1"/>
  <c r="A21" i="1" s="1"/>
  <c r="A22" i="1" s="1"/>
  <c r="A23" i="1" s="1"/>
  <c r="A24" i="1" s="1"/>
  <c r="G4" i="1"/>
  <c r="B22" i="1" l="1"/>
  <c r="B21" i="1"/>
  <c r="B20" i="1"/>
  <c r="B19" i="1"/>
  <c r="B18" i="1"/>
  <c r="B17" i="1"/>
  <c r="G26" i="1"/>
  <c r="G27" i="1" s="1"/>
  <c r="G28" i="1" l="1"/>
  <c r="G29" i="1" s="1"/>
</calcChain>
</file>

<file path=xl/sharedStrings.xml><?xml version="1.0" encoding="utf-8"?>
<sst xmlns="http://schemas.openxmlformats.org/spreadsheetml/2006/main" count="165" uniqueCount="128">
  <si>
    <t>INVOICE NO.</t>
  </si>
  <si>
    <t>DATE</t>
  </si>
  <si>
    <t>DESCRIPTION</t>
  </si>
  <si>
    <t>TOTAL</t>
  </si>
  <si>
    <t>QUANTITY</t>
  </si>
  <si>
    <t>TAX INVOICE</t>
  </si>
  <si>
    <t>AMOUNT PER UNIT</t>
  </si>
  <si>
    <t>name</t>
  </si>
  <si>
    <t>phone</t>
  </si>
  <si>
    <t>Grand Total</t>
  </si>
  <si>
    <t>Invoice no.</t>
  </si>
  <si>
    <t>SL. No.</t>
  </si>
  <si>
    <t>HSN CODE</t>
  </si>
  <si>
    <t>Ball Bearing 6205-2RS</t>
  </si>
  <si>
    <t>AC Motor 1HP (0.75kW)</t>
  </si>
  <si>
    <t>Hydraulic O-Ring Kit</t>
  </si>
  <si>
    <t>Proximity Sensor M18</t>
  </si>
  <si>
    <t>Air Cylinder 25mm</t>
  </si>
  <si>
    <t>V-Belt 5V710</t>
  </si>
  <si>
    <t>Circuit Breaker 10A</t>
  </si>
  <si>
    <t>Gear Pump 10GPM</t>
  </si>
  <si>
    <t>PLC Input Module</t>
  </si>
  <si>
    <t>Solenoid Valve 1/4"</t>
  </si>
  <si>
    <t>Chain Sprocket 15T</t>
  </si>
  <si>
    <t>Variable Frequency Drive</t>
  </si>
  <si>
    <t>Hydraulic Hose 1/2"</t>
  </si>
  <si>
    <t>HMI Touchscreen 7"</t>
  </si>
  <si>
    <t>Air Filter Element</t>
  </si>
  <si>
    <t>Flexible Coupling</t>
  </si>
  <si>
    <t>Contactor 25A</t>
  </si>
  <si>
    <t>Temperature Sensor PT100</t>
  </si>
  <si>
    <t>Pressure Regulator 100PSI</t>
  </si>
  <si>
    <t>Limit Switch</t>
  </si>
  <si>
    <t>Tapered Roller Bearing</t>
  </si>
  <si>
    <t>Stepper Motor NEMA 23</t>
  </si>
  <si>
    <t>Hydraulic Fitting 90Â°</t>
  </si>
  <si>
    <t>Encoder 1000PPR</t>
  </si>
  <si>
    <t>Pneumatic FRL Unit</t>
  </si>
  <si>
    <t>Timing Belt HTD5M</t>
  </si>
  <si>
    <t>Relay 8-pin</t>
  </si>
  <si>
    <t>Hydraulic Cylinder 2"</t>
  </si>
  <si>
    <t>Servo Driver 400W</t>
  </si>
  <si>
    <t>Air Valve Manifold</t>
  </si>
  <si>
    <t>Linear Guide Rail</t>
  </si>
  <si>
    <t>Transformer 240V/110V</t>
  </si>
  <si>
    <t>Gasket Sheet 3mm</t>
  </si>
  <si>
    <t>Photoelectric Sensor</t>
  </si>
  <si>
    <t>Pneumatic Tubing 6mm</t>
  </si>
  <si>
    <t>Gear Reducer 50:1</t>
  </si>
  <si>
    <t>Push Button Green</t>
  </si>
  <si>
    <t>Hydraulic Power Pack</t>
  </si>
  <si>
    <t>Touch Panel 10"</t>
  </si>
  <si>
    <t>Air Silencer</t>
  </si>
  <si>
    <t>Shaft Collar</t>
  </si>
  <si>
    <t>Capacitor 100Î¼F</t>
  </si>
  <si>
    <t>Thread Seal Tape</t>
  </si>
  <si>
    <t>Ultrasonic Sensor</t>
  </si>
  <si>
    <t>Air Chuck</t>
  </si>
  <si>
    <t>Conveyor Roller</t>
  </si>
  <si>
    <t>Temperature Controller</t>
  </si>
  <si>
    <t>Pneumatic Cylinder 32mm</t>
  </si>
  <si>
    <t>DC Motor 12V 50W</t>
  </si>
  <si>
    <t>Hydraulic Flange</t>
  </si>
  <si>
    <t>LED Indicator Light</t>
  </si>
  <si>
    <t>Chain Coupling</t>
  </si>
  <si>
    <t>Inverter 2.2kW</t>
  </si>
  <si>
    <t>Hydraulic Oil ISO 46</t>
  </si>
  <si>
    <t>Pressure Switch</t>
  </si>
  <si>
    <t>Linear Bearing LM20UU</t>
  </si>
  <si>
    <t>Fuse 10A 600V</t>
  </si>
  <si>
    <t>Pneumatic Hose 8mm</t>
  </si>
  <si>
    <t>Gear Motor 30RPM</t>
  </si>
  <si>
    <t>Proximity Switch</t>
  </si>
  <si>
    <t>Ball Screw 1605</t>
  </si>
  <si>
    <t>Transformer 5KVA</t>
  </si>
  <si>
    <t>O-Ring 2mm CS</t>
  </si>
  <si>
    <t>Laser Sensor</t>
  </si>
  <si>
    <t>Air Regulator G1/4</t>
  </si>
  <si>
    <t>Sprocket 40T</t>
  </si>
  <si>
    <t>Servo Motor 750W</t>
  </si>
  <si>
    <t>Hydraulic Filter 10Î¼m</t>
  </si>
  <si>
    <t>Terminal Block</t>
  </si>
  <si>
    <t>Pneumatic Quick Coupler</t>
  </si>
  <si>
    <t>Linear Actuator 200mm</t>
  </si>
  <si>
    <t>Isolator 32A</t>
  </si>
  <si>
    <t>Grease Gun</t>
  </si>
  <si>
    <t>VFD 5.5kW</t>
  </si>
  <si>
    <t>Hydraulic Seal Kit</t>
  </si>
  <si>
    <t>Limit Switch Roller</t>
  </si>
  <si>
    <t>Timing Pulley</t>
  </si>
  <si>
    <t>Temperature Transmitter</t>
  </si>
  <si>
    <t>Air Cylinder 40mm</t>
  </si>
  <si>
    <t>Circuit Board</t>
  </si>
  <si>
    <t>Hydraulic Manifold</t>
  </si>
  <si>
    <t>Pressure Gauge 0-100PSI</t>
  </si>
  <si>
    <t>Vibration Sensor</t>
  </si>
  <si>
    <t>Ball Valve 1/2"</t>
  </si>
  <si>
    <t>Encoder Cable</t>
  </si>
  <si>
    <t>Pneumatic Foot Valve</t>
  </si>
  <si>
    <t>Gearbox Oil SAE90</t>
  </si>
  <si>
    <t>Contactor 40A</t>
  </si>
  <si>
    <t>Linear Rail 500mm</t>
  </si>
  <si>
    <t>Power Supply 24V 5A</t>
  </si>
  <si>
    <t>O-Ring 5mm CS</t>
  </si>
  <si>
    <t>Inductive Sensor</t>
  </si>
  <si>
    <t>Air Filter-Regulator</t>
  </si>
  <si>
    <t>Chain Link</t>
  </si>
  <si>
    <t>Servo Cable</t>
  </si>
  <si>
    <t>Hydraulic Ram 50Ton</t>
  </si>
  <si>
    <t>Touch Screen 15"</t>
  </si>
  <si>
    <t>Pneumatic Valve Bank</t>
  </si>
  <si>
    <t>Bearing Housing</t>
  </si>
  <si>
    <t>Motor Starter 10HP</t>
  </si>
  <si>
    <t>Heat Shrink Tubing</t>
  </si>
  <si>
    <t>Flow Sensor</t>
  </si>
  <si>
    <t>Pneumatic Cylinder 16mm</t>
  </si>
  <si>
    <t>Relay Module</t>
  </si>
  <si>
    <t>Hydraulic Motor 5cc</t>
  </si>
  <si>
    <t>CGST 9%</t>
  </si>
  <si>
    <t>SGST 9%</t>
  </si>
  <si>
    <t>SUBTOTAL</t>
  </si>
  <si>
    <t>Customer details :</t>
  </si>
  <si>
    <t>Shipping details :</t>
  </si>
  <si>
    <t/>
  </si>
  <si>
    <t>Invoice No.</t>
  </si>
  <si>
    <t>-</t>
  </si>
  <si>
    <t>address</t>
  </si>
  <si>
    <t>city-pin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</si>
</sst>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[&lt;=9999999]###\-####;\(###\)\ ###\-####"/>
    <numFmt numFmtId="166" formatCode="&quot;₹&quot;\ #,##0.00"/>
  </numFmts>
  <fonts count="20" x14ac:knownFonts="1">
    <font>
      <sz val="11"/>
      <color theme="5" tint="-0.2499465926084170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5" tint="-0.24994659260841701"/>
      <name val="Century Gothic"/>
      <family val="2"/>
      <scheme val="major"/>
    </font>
    <font>
      <b/>
      <sz val="16"/>
      <color theme="5"/>
      <name val="Century Gothic"/>
      <family val="2"/>
      <scheme val="major"/>
    </font>
    <font>
      <b/>
      <sz val="11"/>
      <color theme="5"/>
      <name val="Calibri"/>
      <family val="2"/>
      <scheme val="minor"/>
    </font>
    <font>
      <sz val="28"/>
      <color theme="5"/>
      <name val="Century Gothic"/>
      <family val="2"/>
      <scheme val="major"/>
    </font>
    <font>
      <i/>
      <sz val="11"/>
      <color theme="5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5" tint="-0.24994659260841701"/>
      <name val="Century Gothic"/>
      <family val="2"/>
      <scheme val="major"/>
    </font>
    <font>
      <b/>
      <sz val="11"/>
      <color theme="5" tint="-0.2499465926084170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4"/>
      <color theme="5" tint="-0.2499465926084170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theme="5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theme="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theme="5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8">
    <xf numFmtId="0" fontId="0" fillId="0" borderId="0">
      <alignment wrapText="1"/>
    </xf>
    <xf numFmtId="0" fontId="6" fillId="0" borderId="0" applyNumberFormat="0" applyFill="0" applyBorder="0" applyProtection="0">
      <alignment horizontal="right"/>
    </xf>
    <xf numFmtId="0" fontId="4" fillId="0" borderId="0" applyNumberFormat="0" applyFill="0" applyBorder="0" applyProtection="0">
      <alignment horizontal="left"/>
    </xf>
    <xf numFmtId="0" fontId="3" fillId="0" borderId="0" applyNumberFormat="0" applyFill="0" applyProtection="0"/>
    <xf numFmtId="0" fontId="9" fillId="0" borderId="0" applyNumberFormat="0" applyFill="0" applyProtection="0">
      <alignment horizontal="left"/>
    </xf>
    <xf numFmtId="0" fontId="7" fillId="0" borderId="0" applyNumberFormat="0" applyFill="0" applyBorder="0" applyProtection="0">
      <alignment horizontal="center"/>
    </xf>
    <xf numFmtId="0" fontId="10" fillId="0" borderId="1" applyNumberFormat="0" applyProtection="0"/>
    <xf numFmtId="4" fontId="8" fillId="0" borderId="0" applyFont="0" applyFill="0" applyBorder="0" applyProtection="0">
      <alignment horizontal="right"/>
    </xf>
    <xf numFmtId="164" fontId="8" fillId="0" borderId="0" applyFont="0" applyFill="0" applyBorder="0" applyProtection="0">
      <alignment horizontal="right"/>
    </xf>
    <xf numFmtId="0" fontId="5" fillId="0" borderId="2" applyNumberFormat="0" applyFill="0" applyProtection="0">
      <alignment horizontal="left"/>
    </xf>
    <xf numFmtId="0" fontId="1" fillId="2" borderId="1" applyNumberFormat="0" applyAlignment="0" applyProtection="0"/>
    <xf numFmtId="165" fontId="8" fillId="0" borderId="0" applyFont="0" applyFill="0" applyBorder="0" applyAlignment="0">
      <alignment horizontal="left" wrapText="1"/>
    </xf>
    <xf numFmtId="0" fontId="8" fillId="0" borderId="0" applyNumberFormat="0" applyFont="0" applyFill="0" applyBorder="0">
      <alignment horizontal="left" indent="8"/>
    </xf>
    <xf numFmtId="14" fontId="8" fillId="0" borderId="0" applyFont="0" applyFill="0" applyBorder="0">
      <alignment horizontal="left"/>
    </xf>
    <xf numFmtId="0" fontId="9" fillId="0" borderId="0" applyNumberFormat="0" applyFill="0" applyBorder="0" applyAlignment="0" applyProtection="0">
      <alignment wrapText="1"/>
    </xf>
    <xf numFmtId="0" fontId="9" fillId="0" borderId="0" applyNumberFormat="0" applyFill="0" applyBorder="0" applyAlignment="0" applyProtection="0">
      <alignment wrapText="1"/>
    </xf>
    <xf numFmtId="165" fontId="9" fillId="0" borderId="0" applyFont="0" applyFill="0" applyBorder="0">
      <alignment horizontal="left" vertical="top" indent="8"/>
    </xf>
    <xf numFmtId="165" fontId="9" fillId="0" borderId="0" applyFont="0" applyFill="0" applyBorder="0">
      <alignment horizontal="left" vertical="top"/>
    </xf>
  </cellStyleXfs>
  <cellXfs count="54">
    <xf numFmtId="0" fontId="0" fillId="0" borderId="0" xfId="0">
      <alignment wrapText="1"/>
    </xf>
    <xf numFmtId="0" fontId="2" fillId="0" borderId="0" xfId="0" applyFont="1">
      <alignment wrapText="1"/>
    </xf>
    <xf numFmtId="0" fontId="9" fillId="0" borderId="0" xfId="4">
      <alignment horizontal="left"/>
    </xf>
    <xf numFmtId="0" fontId="3" fillId="0" borderId="0" xfId="3"/>
    <xf numFmtId="0" fontId="4" fillId="0" borderId="0" xfId="2" applyBorder="1">
      <alignment horizontal="left"/>
    </xf>
    <xf numFmtId="0" fontId="0" fillId="0" borderId="0" xfId="0" applyAlignment="1">
      <alignment horizontal="right"/>
    </xf>
    <xf numFmtId="164" fontId="0" fillId="0" borderId="0" xfId="0" applyNumberFormat="1">
      <alignment wrapText="1"/>
    </xf>
    <xf numFmtId="14" fontId="9" fillId="0" borderId="0" xfId="13" applyFont="1">
      <alignment horizontal="left"/>
    </xf>
    <xf numFmtId="165" fontId="9" fillId="0" borderId="0" xfId="11" applyFont="1" applyAlignment="1">
      <alignment horizontal="left"/>
    </xf>
    <xf numFmtId="0" fontId="9" fillId="0" borderId="0" xfId="12" applyFont="1" applyBorder="1" applyAlignment="1">
      <alignment horizontal="left" indent="14"/>
    </xf>
    <xf numFmtId="165" fontId="9" fillId="0" borderId="0" xfId="16" applyFont="1" applyBorder="1" applyAlignment="1">
      <alignment horizontal="left" vertical="top" indent="14"/>
    </xf>
    <xf numFmtId="0" fontId="13" fillId="0" borderId="0" xfId="0" applyFont="1" applyAlignment="1">
      <alignment horizontal="left" vertical="center" wrapText="1"/>
    </xf>
    <xf numFmtId="0" fontId="15" fillId="3" borderId="4" xfId="0" applyFont="1" applyFill="1" applyBorder="1" applyAlignment="1">
      <alignment horizontal="left" vertical="center" wrapText="1" indent="3"/>
    </xf>
    <xf numFmtId="4" fontId="15" fillId="3" borderId="3" xfId="7" applyFont="1" applyFill="1" applyBorder="1" applyAlignment="1">
      <alignment horizontal="center" vertical="center"/>
    </xf>
    <xf numFmtId="4" fontId="15" fillId="3" borderId="4" xfId="7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 indent="3"/>
    </xf>
    <xf numFmtId="4" fontId="0" fillId="0" borderId="0" xfId="7" applyFont="1" applyFill="1" applyBorder="1" applyAlignment="1">
      <alignment horizontal="left" vertical="center" wrapText="1" indent="3"/>
    </xf>
    <xf numFmtId="0" fontId="11" fillId="4" borderId="6" xfId="0" applyFont="1" applyFill="1" applyBorder="1" applyAlignment="1">
      <alignment horizontal="center" vertical="center" wrapText="1"/>
    </xf>
    <xf numFmtId="0" fontId="11" fillId="4" borderId="7" xfId="6" applyFont="1" applyFill="1" applyBorder="1" applyAlignment="1">
      <alignment horizontal="center" vertical="center"/>
    </xf>
    <xf numFmtId="0" fontId="11" fillId="4" borderId="8" xfId="6" applyFont="1" applyFill="1" applyBorder="1" applyAlignment="1">
      <alignment horizontal="center" vertical="center"/>
    </xf>
    <xf numFmtId="0" fontId="17" fillId="0" borderId="4" xfId="0" applyFont="1" applyBorder="1" applyAlignment="1">
      <alignment horizontal="left" vertical="center" wrapText="1" indent="3"/>
    </xf>
    <xf numFmtId="0" fontId="15" fillId="3" borderId="10" xfId="0" applyFont="1" applyFill="1" applyBorder="1" applyAlignment="1">
      <alignment horizontal="left" vertical="center" wrapText="1" indent="3"/>
    </xf>
    <xf numFmtId="0" fontId="11" fillId="0" borderId="0" xfId="0" applyFont="1" applyAlignment="1">
      <alignment horizontal="center" vertical="center" wrapText="1"/>
    </xf>
    <xf numFmtId="0" fontId="11" fillId="4" borderId="0" xfId="0" applyFont="1" applyFill="1" applyAlignment="1">
      <alignment horizontal="center" vertical="center" wrapText="1"/>
    </xf>
    <xf numFmtId="0" fontId="11" fillId="4" borderId="11" xfId="6" applyFont="1" applyFill="1" applyBorder="1" applyAlignment="1">
      <alignment horizontal="center" vertical="center"/>
    </xf>
    <xf numFmtId="0" fontId="0" fillId="0" borderId="0" xfId="0" applyAlignment="1"/>
    <xf numFmtId="166" fontId="11" fillId="0" borderId="0" xfId="0" applyNumberFormat="1" applyFont="1" applyAlignment="1">
      <alignment horizontal="center" vertical="center" wrapText="1"/>
    </xf>
    <xf numFmtId="166" fontId="14" fillId="3" borderId="12" xfId="8" applyNumberFormat="1" applyFont="1" applyFill="1" applyBorder="1" applyAlignment="1">
      <alignment horizontal="center" vertical="center"/>
    </xf>
    <xf numFmtId="166" fontId="14" fillId="3" borderId="13" xfId="8" applyNumberFormat="1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 wrapText="1"/>
    </xf>
    <xf numFmtId="166" fontId="15" fillId="3" borderId="10" xfId="8" applyNumberFormat="1" applyFont="1" applyFill="1" applyBorder="1" applyAlignment="1">
      <alignment horizontal="center" vertical="center"/>
    </xf>
    <xf numFmtId="0" fontId="12" fillId="0" borderId="9" xfId="0" applyFont="1" applyBorder="1">
      <alignment wrapText="1"/>
    </xf>
    <xf numFmtId="0" fontId="14" fillId="0" borderId="9" xfId="0" applyFont="1" applyBorder="1">
      <alignment wrapText="1"/>
    </xf>
    <xf numFmtId="0" fontId="15" fillId="0" borderId="0" xfId="0" applyFont="1" applyAlignment="1">
      <alignment horizontal="center" vertical="center" wrapText="1"/>
    </xf>
    <xf numFmtId="166" fontId="15" fillId="0" borderId="9" xfId="0" applyNumberFormat="1" applyFont="1" applyBorder="1" applyAlignment="1">
      <alignment horizontal="center" vertical="center" wrapText="1"/>
    </xf>
    <xf numFmtId="0" fontId="9" fillId="0" borderId="0" xfId="12" applyFont="1" applyBorder="1" applyAlignment="1">
      <alignment horizontal="left"/>
    </xf>
    <xf numFmtId="165" fontId="9" fillId="0" borderId="0" xfId="16" applyFont="1" applyBorder="1" applyAlignment="1">
      <alignment horizontal="left" vertical="top"/>
    </xf>
    <xf numFmtId="0" fontId="3" fillId="0" borderId="0" xfId="3" applyAlignment="1">
      <alignment horizontal="left"/>
    </xf>
    <xf numFmtId="0" fontId="18" fillId="3" borderId="10" xfId="0" applyFont="1" applyFill="1" applyBorder="1" applyAlignment="1">
      <alignment horizontal="center" vertical="center" wrapText="1"/>
    </xf>
    <xf numFmtId="166" fontId="19" fillId="0" borderId="1" xfId="0" applyNumberFormat="1" applyFont="1" applyBorder="1" applyAlignment="1">
      <alignment horizontal="center" wrapText="1"/>
    </xf>
    <xf numFmtId="0" fontId="19" fillId="0" borderId="1" xfId="0" applyFont="1" applyBorder="1" applyAlignment="1">
      <alignment horizontal="center"/>
    </xf>
    <xf numFmtId="0" fontId="9" fillId="0" borderId="0" xfId="12" applyFont="1" applyBorder="1">
      <alignment horizontal="left" indent="8"/>
    </xf>
    <xf numFmtId="165" fontId="9" fillId="0" borderId="0" xfId="16" applyFont="1" applyBorder="1">
      <alignment horizontal="left" vertical="top" indent="8"/>
    </xf>
    <xf numFmtId="0" fontId="17" fillId="0" borderId="0" xfId="0" applyFont="1" applyAlignment="1">
      <alignment horizontal="left" vertical="center" wrapText="1" indent="3"/>
    </xf>
    <xf numFmtId="0" fontId="0" fillId="0" borderId="0" xfId="0" applyAlignment="1">
      <alignment horizontal="left" indent="8"/>
    </xf>
    <xf numFmtId="0" fontId="7" fillId="0" borderId="0" xfId="5">
      <alignment horizontal="center"/>
    </xf>
    <xf numFmtId="0" fontId="15" fillId="0" borderId="14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6" fillId="0" borderId="0" xfId="1">
      <alignment horizontal="right"/>
    </xf>
    <xf numFmtId="0" fontId="10" fillId="0" borderId="0" xfId="6" applyBorder="1" applyAlignment="1">
      <alignment horizontal="center"/>
    </xf>
    <xf numFmtId="0" fontId="3" fillId="0" borderId="0" xfId="3" applyAlignment="1">
      <alignment horizontal="left" indent="2"/>
    </xf>
    <xf numFmtId="0" fontId="9" fillId="0" borderId="0" xfId="12" applyFont="1" applyBorder="1" applyAlignment="1">
      <alignment horizontal="left"/>
    </xf>
  </cellXfs>
  <cellStyles count="18">
    <cellStyle name="20% - Accent2" xfId="10" builtinId="34" customBuiltin="1"/>
    <cellStyle name="Comma" xfId="7" builtinId="3" customBuiltin="1"/>
    <cellStyle name="Currency" xfId="8" builtinId="4" customBuiltin="1"/>
    <cellStyle name="Date" xfId="13" xr:uid="{00000000-0005-0000-0000-000003000000}"/>
    <cellStyle name="Explanatory Text" xfId="5" builtinId="53" customBuiltin="1"/>
    <cellStyle name="Followed Hyperlink" xfId="15" builtinId="9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6" builtinId="19" customBuiltin="1"/>
    <cellStyle name="Hyperlink" xfId="14" builtinId="8" customBuiltin="1"/>
    <cellStyle name="Input" xfId="9" builtinId="20" customBuiltin="1"/>
    <cellStyle name="Invoice Company Phone" xfId="11" xr:uid="{00000000-0005-0000-0000-00000C000000}"/>
    <cellStyle name="Left Indent" xfId="12" xr:uid="{00000000-0005-0000-0000-00000D000000}"/>
    <cellStyle name="Normal" xfId="0" builtinId="0" customBuiltin="1"/>
    <cellStyle name="Phone" xfId="16" xr:uid="{00000000-0005-0000-0000-00000F000000}"/>
    <cellStyle name="Ship Phone" xfId="17" xr:uid="{00000000-0005-0000-0000-000010000000}"/>
    <cellStyle name="Title" xfId="1" builtinId="15" customBuiltin="1"/>
  </cellStyles>
  <dxfs count="13">
    <dxf>
      <border outline="0"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border outline="0">
        <bottom style="thin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5" tint="-0.249977111117893"/>
        <name val="Calibri"/>
        <family val="2"/>
        <scheme val="minor"/>
      </font>
      <numFmt numFmtId="166" formatCode="&quot;₹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5" tint="-0.249977111117893"/>
        <name val="Calibri"/>
        <family val="2"/>
        <scheme val="minor"/>
      </font>
      <numFmt numFmtId="166" formatCode="&quot;₹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5" tint="-0.249977111117893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5" tint="-0.249977111117893"/>
        <name val="Calibri"/>
        <family val="2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3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5" tint="-0.249977111117893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3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5" tint="-0.249977111117893"/>
        <name val="Calibri"/>
        <family val="2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3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5" tint="-0.249977111117893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3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</dxf>
  </dxfs>
  <tableStyles count="0" defaultTableStyle="TableStyleLight3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233979</xdr:colOff>
      <xdr:row>0</xdr:row>
      <xdr:rowOff>122703</xdr:rowOff>
    </xdr:from>
    <xdr:to>
      <xdr:col>2</xdr:col>
      <xdr:colOff>655320</xdr:colOff>
      <xdr:row>1</xdr:row>
      <xdr:rowOff>315108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3979" y="122703"/>
          <a:ext cx="1694329" cy="909581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114300</xdr:colOff>
      <xdr:row>1</xdr:row>
      <xdr:rowOff>327660</xdr:rowOff>
    </xdr:from>
    <xdr:to>
      <xdr:col>4</xdr:col>
      <xdr:colOff>388620</xdr:colOff>
      <xdr:row>6</xdr:row>
      <xdr:rowOff>60960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35082E8-90FC-0B98-76AB-7AA8BF92E5DB}"/>
            </a:ext>
          </a:extLst>
        </xdr:cNvPr>
        <xdr:cNvSpPr txBox="1"/>
      </xdr:nvSpPr>
      <xdr:spPr>
        <a:xfrm>
          <a:off x="114300" y="1043940"/>
          <a:ext cx="3962400" cy="914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b="1" i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Apex Technical Supplies Pvt.</a:t>
          </a:r>
          <a:r>
            <a:rPr lang="en-IN" sz="1600" b="1" i="0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 Ltd.</a:t>
          </a:r>
        </a:p>
        <a:p>
          <a:pPr latinLnBrk="1"/>
          <a:r>
            <a:rPr lang="en-IN" sz="105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88 Technology Drive,</a:t>
          </a:r>
          <a:r>
            <a:rPr lang="en-IN" sz="105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05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Route 128 Innovation Corridor,</a:t>
          </a:r>
        </a:p>
        <a:p>
          <a:pPr latinLnBrk="1"/>
          <a:r>
            <a:rPr lang="en-IN" sz="105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Waltham, MA 02451.          </a:t>
          </a:r>
          <a:r>
            <a:rPr lang="en-IN" sz="105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IN" sz="105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Phone: (781) 555-3366</a:t>
          </a:r>
          <a:endParaRPr lang="en-IN" sz="1050" b="0" i="0">
            <a:solidFill>
              <a:schemeClr val="dk1"/>
            </a:solidFill>
            <a:effectLst/>
            <a:latin typeface="+mj-lt"/>
            <a:ea typeface="+mn-ea"/>
            <a:cs typeface="+mn-cs"/>
          </a:endParaRPr>
        </a:p>
        <a:p>
          <a:r>
            <a:rPr lang="en-IN" sz="1050" b="0" i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mail: </a:t>
          </a:r>
          <a:r>
            <a:rPr lang="en-IN" sz="1000" b="0" i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parts@</a:t>
          </a:r>
          <a:r>
            <a:rPr lang="en-IN" sz="1000" b="0" i="0">
              <a:ln>
                <a:noFill/>
              </a:ln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apexindustrialtech</a:t>
          </a:r>
          <a:r>
            <a:rPr lang="en-IN" sz="1000" b="0" i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.com</a:t>
          </a:r>
          <a:endParaRPr lang="en-IN" sz="1400" b="0" i="0">
            <a:solidFill>
              <a:schemeClr val="dk1"/>
            </a:solidFill>
            <a:effectLst/>
            <a:latin typeface="+mj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121919</xdr:colOff>
      <xdr:row>8</xdr:row>
      <xdr:rowOff>113403</xdr:rowOff>
    </xdr:from>
    <xdr:to>
      <xdr:col>13</xdr:col>
      <xdr:colOff>205739</xdr:colOff>
      <xdr:row>11</xdr:row>
      <xdr:rowOff>12999</xdr:rowOff>
    </xdr:to>
    <xdr:sp macro="[0]!copy_to_shipping" textlink="">
      <xdr:nvSpPr>
        <xdr:cNvPr id="4" name="TextBox 3">
          <a:extLst>
            <a:ext uri="{FF2B5EF4-FFF2-40B4-BE49-F238E27FC236}">
              <a16:creationId xmlns:a16="http://schemas.microsoft.com/office/drawing/2014/main" id="{A687F050-E303-AC73-406B-896E37B5949A}"/>
            </a:ext>
          </a:extLst>
        </xdr:cNvPr>
        <xdr:cNvSpPr txBox="1"/>
      </xdr:nvSpPr>
      <xdr:spPr>
        <a:xfrm>
          <a:off x="12044978" y="2533874"/>
          <a:ext cx="1303020" cy="43747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050"/>
            <a:t>CLICK TO</a:t>
          </a:r>
          <a:r>
            <a:rPr lang="en-IN" sz="1050" baseline="0"/>
            <a:t> COPY </a:t>
          </a:r>
          <a:r>
            <a:rPr lang="en-IN" sz="1050"/>
            <a:t>CUSTOMER DETAILS</a:t>
          </a:r>
        </a:p>
      </xdr:txBody>
    </xdr:sp>
    <xdr:clientData/>
  </xdr:twoCellAnchor>
  <xdr:twoCellAnchor>
    <xdr:from>
      <xdr:col>11</xdr:col>
      <xdr:colOff>116541</xdr:colOff>
      <xdr:row>11</xdr:row>
      <xdr:rowOff>206188</xdr:rowOff>
    </xdr:from>
    <xdr:to>
      <xdr:col>13</xdr:col>
      <xdr:colOff>179294</xdr:colOff>
      <xdr:row>13</xdr:row>
      <xdr:rowOff>215152</xdr:rowOff>
    </xdr:to>
    <xdr:sp macro="[0]!Macro15" textlink="">
      <xdr:nvSpPr>
        <xdr:cNvPr id="5" name="TextBox 4">
          <a:extLst>
            <a:ext uri="{FF2B5EF4-FFF2-40B4-BE49-F238E27FC236}">
              <a16:creationId xmlns:a16="http://schemas.microsoft.com/office/drawing/2014/main" id="{B8E43237-60A1-69B4-BE9F-1BF8EEC9DB71}"/>
            </a:ext>
          </a:extLst>
        </xdr:cNvPr>
        <xdr:cNvSpPr txBox="1"/>
      </xdr:nvSpPr>
      <xdr:spPr>
        <a:xfrm>
          <a:off x="12039600" y="3164541"/>
          <a:ext cx="1281953" cy="654423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/>
            <a:t>copy to sales entry sheet</a:t>
          </a:r>
        </a:p>
      </xdr:txBody>
    </xdr:sp>
    <xdr:clientData/>
  </xdr:twoCellAnchor>
  <xdr:twoCellAnchor>
    <xdr:from>
      <xdr:col>2</xdr:col>
      <xdr:colOff>2967317</xdr:colOff>
      <xdr:row>32</xdr:row>
      <xdr:rowOff>206188</xdr:rowOff>
    </xdr:from>
    <xdr:to>
      <xdr:col>5</xdr:col>
      <xdr:colOff>582706</xdr:colOff>
      <xdr:row>33</xdr:row>
      <xdr:rowOff>224118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E8629D1-659E-D856-43C3-074FD22D580B}"/>
            </a:ext>
          </a:extLst>
        </xdr:cNvPr>
        <xdr:cNvSpPr txBox="1"/>
      </xdr:nvSpPr>
      <xdr:spPr>
        <a:xfrm>
          <a:off x="3155576" y="9287435"/>
          <a:ext cx="2241177" cy="40341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100" i="1"/>
            <a:t>THANK YOU !</a:t>
          </a:r>
        </a:p>
      </xdr:txBody>
    </xdr:sp>
    <xdr:clientData/>
  </xdr:twoCellAnchor>
  <xdr:twoCellAnchor>
    <xdr:from>
      <xdr:col>10</xdr:col>
      <xdr:colOff>591670</xdr:colOff>
      <xdr:row>4</xdr:row>
      <xdr:rowOff>161365</xdr:rowOff>
    </xdr:from>
    <xdr:to>
      <xdr:col>13</xdr:col>
      <xdr:colOff>331694</xdr:colOff>
      <xdr:row>7</xdr:row>
      <xdr:rowOff>62753</xdr:rowOff>
    </xdr:to>
    <xdr:sp macro="[0]!saveinvoic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282C2E3-0B16-0404-30D7-F19B235FBB40}"/>
            </a:ext>
          </a:extLst>
        </xdr:cNvPr>
        <xdr:cNvSpPr/>
      </xdr:nvSpPr>
      <xdr:spPr>
        <a:xfrm>
          <a:off x="11905129" y="1676400"/>
          <a:ext cx="1568824" cy="627529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PRINT &amp; SAVE INVOICE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D69D9E-AAE0-423C-8165-A6ADDFAC873F}" name="Table2" displayName="Table2" ref="A14:G24" totalsRowShown="0" headerRowDxfId="12" tableBorderDxfId="11" headerRowCellStyle="Heading 4">
  <tableColumns count="7">
    <tableColumn id="1" xr3:uid="{4DAA003F-85A2-48AE-B204-64998F6A3320}" name="SL. No." dataDxfId="10">
      <calculatedColumnFormula>IF(C15="","",A14+1)</calculatedColumnFormula>
    </tableColumn>
    <tableColumn id="7" xr3:uid="{9AF1F328-A884-4E19-A202-7D15FA8381BC}" name="Invoice no." dataDxfId="9">
      <calculatedColumnFormula>IF(Table2[[#This Row],[DESCRIPTION]]="","",$G$3)</calculatedColumnFormula>
    </tableColumn>
    <tableColumn id="2" xr3:uid="{0087E057-605F-4021-8D6A-CFE975C6FC7F}" name="DESCRIPTION" dataDxfId="8"/>
    <tableColumn id="6" xr3:uid="{89CDAB09-EDB7-43CC-9AAF-84C2877BBA8D}" name="HSN CODE" dataDxfId="7">
      <calculatedColumnFormula>IFERROR(VLOOKUP(Table2[[#This Row],[DESCRIPTION]],stock[[DESCRIPTION]:[HSN CODE]],2,TRUE),"")</calculatedColumnFormula>
    </tableColumn>
    <tableColumn id="3" xr3:uid="{E393E6BD-D174-45B4-934A-EE45BADCA1D1}" name="QUANTITY" dataDxfId="6" dataCellStyle="Comma"/>
    <tableColumn id="4" xr3:uid="{57ACFE88-D5F1-486E-8A74-BA08F3B94717}" name="AMOUNT PER UNIT" dataDxfId="5" dataCellStyle="Currency">
      <calculatedColumnFormula>IFERROR(VLOOKUP(Table2[[#This Row],[DESCRIPTION]],stock[[DESCRIPTION]:[AMOUNT PER UNIT]],4,TRUE),"")</calculatedColumnFormula>
    </tableColumn>
    <tableColumn id="5" xr3:uid="{37873424-03C7-422B-82D2-FFD0AF2CC3CF}" name="TOTAL" dataDxfId="4" dataCellStyle="Currency">
      <calculatedColumnFormula>'tax invoice'!$F15*'tax invoice'!$E15</calculatedColumnFormula>
    </tableColumn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14735B2-2CCB-4EB0-BDF3-04784783BE6F}" name="stock" displayName="stock" ref="C3:H570" totalsRowShown="0" headerRowBorderDxfId="3" tableBorderDxfId="2">
  <autoFilter ref="C3:H570" xr:uid="{E14735B2-2CCB-4EB0-BDF3-04784783BE6F}"/>
  <tableColumns count="6">
    <tableColumn id="1" xr3:uid="{3F45004F-70BB-43F0-970D-B4FCC580AC89}" name="SL. No."/>
    <tableColumn id="2" xr3:uid="{FF666897-C938-414F-B432-C13723003445}" name="DESCRIPTION"/>
    <tableColumn id="3" xr3:uid="{CE7FED5F-0F04-4A0B-A1AD-0239B739A63F}" name="HSN CODE"/>
    <tableColumn id="4" xr3:uid="{04E1F090-71E3-4059-9E54-5252D714DDEA}" name="QUANTITY"/>
    <tableColumn id="5" xr3:uid="{D36AC3CB-253B-476E-A7EA-FA75F0EAD772}" name="AMOUNT PER UNIT"/>
    <tableColumn id="6" xr3:uid="{5E3C4290-3726-4685-9E03-0781EB4FE0DB}" name="TOTAL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D469C0-50E4-41F4-987C-5598DA5DF479}" name="sales" displayName="sales" ref="C3:I23" totalsRowShown="0" headerRowDxfId="1" tableBorderDxfId="0" headerRowCellStyle="Heading 4">
  <tableColumns count="7">
    <tableColumn id="1" xr3:uid="{D7CC2D25-50DC-4115-BCA9-0434B243343B}" name="SL. No."/>
    <tableColumn id="2" xr3:uid="{B9E17F9B-4624-4320-B75B-9B7B84D93C93}" name="Invoice No."/>
    <tableColumn id="3" xr3:uid="{303AF032-48FB-4D01-994A-09251D4FA5EA}" name="DESCRIPTION"/>
    <tableColumn id="4" xr3:uid="{794CEC6B-5953-469A-A4AE-D83A4F3E1A14}" name="HSN CODE"/>
    <tableColumn id="5" xr3:uid="{46CF92D4-D2B2-47A1-9A45-5924CDE096A7}" name="QUANTITY"/>
    <tableColumn id="6" xr3:uid="{F43FAD24-C691-4ECE-9EF4-45C399507E3A}" name="AMOUNT PER UNIT"/>
    <tableColumn id="7" xr3:uid="{3DC23CF1-793A-42E3-9987-D47AA005E7B1}" name="TOTAL"/>
  </tableColumns>
  <tableStyleInfo name="TableStyleLight3" showFirstColumn="0" showLastColumn="0" showRowStripes="0" showColumnStripes="0"/>
</table>
</file>

<file path=xl/theme/theme1.xml><?xml version="1.0" encoding="utf-8"?>
<a:theme xmlns:a="http://schemas.openxmlformats.org/drawingml/2006/main" name="TravelExpenseReport">
  <a:themeElements>
    <a:clrScheme name="Finance charge">
      <a:dk1>
        <a:srgbClr val="2E2224"/>
      </a:dk1>
      <a:lt1>
        <a:srgbClr val="FFFFFF"/>
      </a:lt1>
      <a:dk2>
        <a:srgbClr val="2E2224"/>
      </a:dk2>
      <a:lt2>
        <a:srgbClr val="FFFFFF"/>
      </a:lt2>
      <a:accent1>
        <a:srgbClr val="533D36"/>
      </a:accent1>
      <a:accent2>
        <a:srgbClr val="4B5A60"/>
      </a:accent2>
      <a:accent3>
        <a:srgbClr val="9C5238"/>
      </a:accent3>
      <a:accent4>
        <a:srgbClr val="C1AD79"/>
      </a:accent4>
      <a:accent5>
        <a:srgbClr val="667559"/>
      </a:accent5>
      <a:accent6>
        <a:srgbClr val="604965"/>
      </a:accent6>
      <a:hlink>
        <a:srgbClr val="4B5A60"/>
      </a:hlink>
      <a:folHlink>
        <a:srgbClr val="604965"/>
      </a:folHlink>
    </a:clrScheme>
    <a:fontScheme name="Finance charge">
      <a:majorFont>
        <a:latin typeface="Century Gothic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</sheetPr>
  <dimension ref="A1:I32"/>
  <sheetViews>
    <sheetView showGridLines="0" tabSelected="1" zoomScale="85" zoomScaleNormal="85" workbookViewId="0">
      <selection activeCell="K16" sqref="K16"/>
    </sheetView>
  </sheetViews>
  <sheetFormatPr defaultRowHeight="30" customHeight="1" x14ac:dyDescent="0.3"/>
  <cols>
    <col min="1" max="1" width="11.109375" customWidth="1"/>
    <col min="2" max="2" width="7.44140625" customWidth="1"/>
    <col min="3" max="3" width="45.44140625" customWidth="1"/>
    <col min="4" max="4" width="18.88671875" customWidth="1"/>
    <col min="5" max="5" width="16.44140625" customWidth="1"/>
    <col min="6" max="6" width="22.6640625" customWidth="1"/>
    <col min="7" max="7" width="29.6640625" customWidth="1"/>
    <col min="8" max="8" width="2.77734375" customWidth="1"/>
  </cols>
  <sheetData>
    <row r="1" spans="1:9" ht="56.85" customHeight="1" x14ac:dyDescent="0.6">
      <c r="F1" s="50" t="s">
        <v>5</v>
      </c>
      <c r="G1" s="50"/>
      <c r="H1" s="50"/>
      <c r="I1" s="50"/>
    </row>
    <row r="2" spans="1:9" ht="33" customHeight="1" x14ac:dyDescent="0.35">
      <c r="C2" s="4"/>
      <c r="D2" s="4"/>
    </row>
    <row r="3" spans="1:9" ht="15" customHeight="1" x14ac:dyDescent="0.3">
      <c r="C3" s="2"/>
      <c r="D3" s="2"/>
      <c r="E3" s="1"/>
      <c r="F3" s="3" t="s">
        <v>0</v>
      </c>
      <c r="G3" s="2">
        <f>MAX(sales[Invoice No.])+1</f>
        <v>4</v>
      </c>
    </row>
    <row r="4" spans="1:9" ht="15" customHeight="1" x14ac:dyDescent="0.3">
      <c r="C4" s="2"/>
      <c r="D4" s="2"/>
      <c r="E4" s="1"/>
      <c r="F4" s="3" t="s">
        <v>1</v>
      </c>
      <c r="G4" s="7">
        <f ca="1">TODAY()</f>
        <v>46000</v>
      </c>
    </row>
    <row r="5" spans="1:9" ht="15" customHeight="1" x14ac:dyDescent="0.3">
      <c r="C5" s="8"/>
      <c r="D5" s="8"/>
      <c r="E5" s="1"/>
      <c r="F5" s="3"/>
      <c r="G5" s="2"/>
    </row>
    <row r="6" spans="1:9" ht="15" customHeight="1" x14ac:dyDescent="0.3">
      <c r="C6" s="2"/>
      <c r="D6" s="2"/>
    </row>
    <row r="7" spans="1:9" ht="27.75" customHeight="1" x14ac:dyDescent="0.3">
      <c r="A7" s="52" t="s">
        <v>121</v>
      </c>
      <c r="B7" s="52"/>
      <c r="C7" s="52"/>
      <c r="D7" s="3"/>
      <c r="E7" s="38" t="s">
        <v>122</v>
      </c>
      <c r="F7" s="38"/>
    </row>
    <row r="8" spans="1:9" ht="14.4" x14ac:dyDescent="0.3">
      <c r="B8" s="53" t="s">
        <v>7</v>
      </c>
      <c r="C8" s="53"/>
      <c r="D8" s="9"/>
      <c r="E8" s="42" t="s">
        <v>7</v>
      </c>
      <c r="F8" s="42"/>
      <c r="G8" s="36"/>
    </row>
    <row r="9" spans="1:9" ht="14.4" x14ac:dyDescent="0.3">
      <c r="B9" s="53" t="s">
        <v>126</v>
      </c>
      <c r="C9" s="53"/>
      <c r="D9" s="9"/>
      <c r="E9" s="42" t="s">
        <v>126</v>
      </c>
      <c r="F9" s="42"/>
      <c r="G9" s="36"/>
    </row>
    <row r="10" spans="1:9" ht="14.4" x14ac:dyDescent="0.3">
      <c r="B10" s="53" t="s">
        <v>127</v>
      </c>
      <c r="C10" s="53"/>
      <c r="D10" s="9"/>
      <c r="E10" s="42" t="s">
        <v>127</v>
      </c>
      <c r="F10" s="42"/>
      <c r="G10" s="36"/>
    </row>
    <row r="11" spans="1:9" ht="14.4" x14ac:dyDescent="0.3">
      <c r="B11" s="53" t="s">
        <v>8</v>
      </c>
      <c r="C11" s="53"/>
      <c r="D11" s="9"/>
      <c r="E11" s="42" t="s">
        <v>8</v>
      </c>
      <c r="F11" s="42"/>
      <c r="G11" s="36"/>
    </row>
    <row r="12" spans="1:9" ht="20.399999999999999" customHeight="1" x14ac:dyDescent="0.3">
      <c r="C12" s="37"/>
      <c r="D12" s="10"/>
      <c r="E12" s="45"/>
      <c r="F12" s="43"/>
      <c r="G12" s="37"/>
    </row>
    <row r="13" spans="1:9" ht="30" customHeight="1" x14ac:dyDescent="0.3">
      <c r="C13" s="51"/>
      <c r="D13" s="51"/>
      <c r="E13" s="51"/>
      <c r="F13" s="51"/>
      <c r="G13" s="51"/>
    </row>
    <row r="14" spans="1:9" ht="31.2" customHeight="1" thickBot="1" x14ac:dyDescent="0.35">
      <c r="A14" s="18" t="s">
        <v>11</v>
      </c>
      <c r="B14" s="18" t="s">
        <v>10</v>
      </c>
      <c r="C14" s="18" t="s">
        <v>2</v>
      </c>
      <c r="D14" s="24" t="s">
        <v>12</v>
      </c>
      <c r="E14" s="19" t="s">
        <v>4</v>
      </c>
      <c r="F14" s="19" t="s">
        <v>6</v>
      </c>
      <c r="G14" s="20" t="s">
        <v>3</v>
      </c>
    </row>
    <row r="15" spans="1:9" ht="4.8" hidden="1" customHeight="1" thickBot="1" x14ac:dyDescent="0.35">
      <c r="A15" s="21">
        <v>0</v>
      </c>
      <c r="B15" s="44" t="str">
        <f>IF(Table2[[#This Row],[DESCRIPTION]]="","",$G$3)</f>
        <v/>
      </c>
      <c r="C15" s="23"/>
      <c r="D15" s="23" t="str">
        <f>IFERROR(VLOOKUP(Table2[[#This Row],[DESCRIPTION]],stock[[DESCRIPTION]:[HSN CODE]],2,TRUE),"")</f>
        <v/>
      </c>
      <c r="E15" s="23"/>
      <c r="F15" s="27" t="str">
        <f>IFERROR(VLOOKUP(Table2[[#This Row],[DESCRIPTION]],stock[[DESCRIPTION]:[AMOUNT PER UNIT]],4,TRUE),"")</f>
        <v/>
      </c>
      <c r="G15" s="23"/>
    </row>
    <row r="16" spans="1:9" ht="36.6" customHeight="1" x14ac:dyDescent="0.3">
      <c r="A16" s="12">
        <f>IF(C16="","",A15+1)</f>
        <v>1</v>
      </c>
      <c r="B16" s="12">
        <f>IF(Table2[[#This Row],[DESCRIPTION]]="","",$G$3)</f>
        <v>4</v>
      </c>
      <c r="C16" s="12" t="s">
        <v>13</v>
      </c>
      <c r="D16" s="39">
        <f>IFERROR(VLOOKUP(Table2[[#This Row],[DESCRIPTION]],stock[[DESCRIPTION]:[HSN CODE]],2,TRUE),"")</f>
        <v>85015110</v>
      </c>
      <c r="E16" s="13">
        <v>1</v>
      </c>
      <c r="F16" s="31">
        <f>IFERROR(VLOOKUP(Table2[[#This Row],[DESCRIPTION]],stock[[DESCRIPTION]:[AMOUNT PER UNIT]],4,TRUE),"")</f>
        <v>285</v>
      </c>
      <c r="G16" s="28">
        <f>'tax invoice'!$F16*'tax invoice'!$E16</f>
        <v>285</v>
      </c>
    </row>
    <row r="17" spans="1:7" ht="30" customHeight="1" x14ac:dyDescent="0.3">
      <c r="A17" s="12" t="str">
        <f t="shared" ref="A17:A24" si="0">IF(C17="","",A16+1)</f>
        <v/>
      </c>
      <c r="B17" s="12" t="str">
        <f>IF(Table2[[#This Row],[DESCRIPTION]]="","",$G$3)</f>
        <v/>
      </c>
      <c r="C17" s="12"/>
      <c r="D17" s="22" t="str">
        <f>IFERROR(VLOOKUP(Table2[[#This Row],[DESCRIPTION]],stock[[DESCRIPTION]:[HSN CODE]],2,TRUE),"")</f>
        <v/>
      </c>
      <c r="E17" s="14"/>
      <c r="F17" s="31" t="str">
        <f>IFERROR(VLOOKUP(Table2[[#This Row],[DESCRIPTION]],stock[[DESCRIPTION]:[AMOUNT PER UNIT]],4,TRUE),"")</f>
        <v/>
      </c>
      <c r="G17" s="29" t="str">
        <f>IFERROR('tax invoice'!$F17*'tax invoice'!$E17,"")</f>
        <v/>
      </c>
    </row>
    <row r="18" spans="1:7" ht="30" customHeight="1" x14ac:dyDescent="0.3">
      <c r="A18" s="12" t="str">
        <f t="shared" si="0"/>
        <v/>
      </c>
      <c r="B18" s="12" t="str">
        <f>IF(Table2[[#This Row],[DESCRIPTION]]="","",$G$3)</f>
        <v/>
      </c>
      <c r="C18" s="12"/>
      <c r="D18" s="22" t="str">
        <f>IFERROR(VLOOKUP(Table2[[#This Row],[DESCRIPTION]],stock[[DESCRIPTION]:[HSN CODE]],2,TRUE),"")</f>
        <v/>
      </c>
      <c r="E18" s="14"/>
      <c r="F18" s="31" t="str">
        <f>IFERROR(VLOOKUP(Table2[[#This Row],[DESCRIPTION]],stock[[DESCRIPTION]:[AMOUNT PER UNIT]],4,TRUE),"")</f>
        <v/>
      </c>
      <c r="G18" s="29" t="str">
        <f>IFERROR('tax invoice'!$F18*'tax invoice'!$E18,"")</f>
        <v/>
      </c>
    </row>
    <row r="19" spans="1:7" ht="30" customHeight="1" x14ac:dyDescent="0.3">
      <c r="A19" s="12" t="str">
        <f t="shared" si="0"/>
        <v/>
      </c>
      <c r="B19" s="12" t="str">
        <f>IF(Table2[[#This Row],[DESCRIPTION]]="","",$G$3)</f>
        <v/>
      </c>
      <c r="C19" s="12"/>
      <c r="D19" s="22" t="str">
        <f>IFERROR(VLOOKUP(Table2[[#This Row],[DESCRIPTION]],stock[[DESCRIPTION]:[HSN CODE]],2,TRUE),"")</f>
        <v/>
      </c>
      <c r="E19" s="14"/>
      <c r="F19" s="31" t="str">
        <f>IFERROR(VLOOKUP(Table2[[#This Row],[DESCRIPTION]],stock[[DESCRIPTION]:[AMOUNT PER UNIT]],4,TRUE),"")</f>
        <v/>
      </c>
      <c r="G19" s="29" t="str">
        <f>IFERROR('tax invoice'!$F19*'tax invoice'!$E19,"")</f>
        <v/>
      </c>
    </row>
    <row r="20" spans="1:7" ht="30" customHeight="1" x14ac:dyDescent="0.3">
      <c r="A20" s="12" t="str">
        <f t="shared" si="0"/>
        <v/>
      </c>
      <c r="B20" s="12" t="str">
        <f>IF(Table2[[#This Row],[DESCRIPTION]]="","",$G$3)</f>
        <v/>
      </c>
      <c r="C20" s="12"/>
      <c r="D20" s="22" t="str">
        <f>IFERROR(VLOOKUP(Table2[[#This Row],[DESCRIPTION]],stock[[DESCRIPTION]:[HSN CODE]],2,TRUE),"")</f>
        <v/>
      </c>
      <c r="E20" s="14"/>
      <c r="F20" s="31" t="str">
        <f>IFERROR(VLOOKUP(Table2[[#This Row],[DESCRIPTION]],stock[[DESCRIPTION]:[AMOUNT PER UNIT]],4,TRUE),"")</f>
        <v/>
      </c>
      <c r="G20" s="29" t="str">
        <f>IFERROR('tax invoice'!$F20*'tax invoice'!$E20,"")</f>
        <v/>
      </c>
    </row>
    <row r="21" spans="1:7" ht="30" customHeight="1" x14ac:dyDescent="0.3">
      <c r="A21" s="12" t="str">
        <f t="shared" si="0"/>
        <v/>
      </c>
      <c r="B21" s="12" t="str">
        <f>IF(Table2[[#This Row],[DESCRIPTION]]="","",$G$3)</f>
        <v/>
      </c>
      <c r="C21" s="12"/>
      <c r="D21" s="22" t="str">
        <f>IFERROR(VLOOKUP(Table2[[#This Row],[DESCRIPTION]],stock[[DESCRIPTION]:[HSN CODE]],2,TRUE),"")</f>
        <v/>
      </c>
      <c r="E21" s="14"/>
      <c r="F21" s="31" t="str">
        <f>IFERROR(VLOOKUP(Table2[[#This Row],[DESCRIPTION]],stock[[DESCRIPTION]:[AMOUNT PER UNIT]],4,TRUE),"")</f>
        <v/>
      </c>
      <c r="G21" s="29" t="str">
        <f>IFERROR('tax invoice'!$F21*'tax invoice'!$E21,"")</f>
        <v/>
      </c>
    </row>
    <row r="22" spans="1:7" ht="30" customHeight="1" x14ac:dyDescent="0.3">
      <c r="A22" s="12" t="str">
        <f t="shared" si="0"/>
        <v/>
      </c>
      <c r="B22" s="12" t="str">
        <f>IF(Table2[[#This Row],[DESCRIPTION]]="","",$G$3)</f>
        <v/>
      </c>
      <c r="C22" s="12"/>
      <c r="D22" s="22" t="str">
        <f>IFERROR(VLOOKUP(Table2[[#This Row],[DESCRIPTION]],stock[[DESCRIPTION]:[HSN CODE]],2,TRUE),"")</f>
        <v/>
      </c>
      <c r="E22" s="14"/>
      <c r="F22" s="31" t="str">
        <f>IFERROR(VLOOKUP(Table2[[#This Row],[DESCRIPTION]],stock[[DESCRIPTION]:[AMOUNT PER UNIT]],4,TRUE),"")</f>
        <v/>
      </c>
      <c r="G22" s="29" t="str">
        <f>IFERROR('tax invoice'!$F22*'tax invoice'!$E22,"")</f>
        <v/>
      </c>
    </row>
    <row r="23" spans="1:7" ht="30" customHeight="1" x14ac:dyDescent="0.3">
      <c r="A23" s="12" t="str">
        <f t="shared" si="0"/>
        <v/>
      </c>
      <c r="B23" s="12" t="str">
        <f>IF(Table2[[#This Row],[DESCRIPTION]]="","",$G$3)</f>
        <v/>
      </c>
      <c r="C23" s="12"/>
      <c r="D23" s="22" t="str">
        <f>IFERROR(VLOOKUP(Table2[[#This Row],[DESCRIPTION]],stock[[DESCRIPTION]:[HSN CODE]],2,TRUE),"")</f>
        <v/>
      </c>
      <c r="E23" s="14"/>
      <c r="F23" s="31" t="str">
        <f>IFERROR(VLOOKUP(Table2[[#This Row],[DESCRIPTION]],stock[[DESCRIPTION]:[AMOUNT PER UNIT]],4,TRUE),"")</f>
        <v/>
      </c>
      <c r="G23" s="29" t="str">
        <f>IFERROR('tax invoice'!$F23*'tax invoice'!$E23,"")</f>
        <v/>
      </c>
    </row>
    <row r="24" spans="1:7" ht="30" customHeight="1" x14ac:dyDescent="0.3">
      <c r="A24" s="22" t="str">
        <f t="shared" si="0"/>
        <v/>
      </c>
      <c r="B24" s="12" t="str">
        <f>IF(Table2[[#This Row],[DESCRIPTION]]="","",$G$3)</f>
        <v/>
      </c>
      <c r="C24" s="12"/>
      <c r="D24" s="22" t="str">
        <f>IFERROR(VLOOKUP(Table2[[#This Row],[DESCRIPTION]],stock[[DESCRIPTION]:[HSN CODE]],2,TRUE),"")</f>
        <v/>
      </c>
      <c r="E24" s="14"/>
      <c r="F24" s="31" t="str">
        <f>IFERROR(VLOOKUP(Table2[[#This Row],[DESCRIPTION]],stock[[DESCRIPTION]:[AMOUNT PER UNIT]],4,TRUE),"")</f>
        <v/>
      </c>
      <c r="G24" s="29" t="str">
        <f>IFERROR('tax invoice'!$F24*'tax invoice'!$E24,"")</f>
        <v/>
      </c>
    </row>
    <row r="25" spans="1:7" ht="9.6" customHeight="1" x14ac:dyDescent="0.3">
      <c r="C25" s="47"/>
      <c r="D25" s="47"/>
      <c r="E25" s="47"/>
      <c r="F25" s="48"/>
      <c r="G25" s="49"/>
    </row>
    <row r="26" spans="1:7" ht="30" customHeight="1" x14ac:dyDescent="0.3">
      <c r="C26" s="34"/>
      <c r="D26" s="34"/>
      <c r="E26" s="34"/>
      <c r="F26" s="30" t="s">
        <v>120</v>
      </c>
      <c r="G26" s="35">
        <f>SUM(G16:G24)</f>
        <v>285</v>
      </c>
    </row>
    <row r="27" spans="1:7" ht="30" customHeight="1" x14ac:dyDescent="0.3">
      <c r="C27" s="34"/>
      <c r="D27" s="34"/>
      <c r="E27" s="34"/>
      <c r="F27" s="30" t="s">
        <v>118</v>
      </c>
      <c r="G27" s="35">
        <f>G26*9%</f>
        <v>25.65</v>
      </c>
    </row>
    <row r="28" spans="1:7" ht="30" customHeight="1" x14ac:dyDescent="0.3">
      <c r="C28" s="34"/>
      <c r="D28" s="34"/>
      <c r="E28" s="34"/>
      <c r="F28" s="30" t="s">
        <v>119</v>
      </c>
      <c r="G28" s="35">
        <f>G26*9%</f>
        <v>25.65</v>
      </c>
    </row>
    <row r="29" spans="1:7" ht="30" customHeight="1" x14ac:dyDescent="0.4">
      <c r="C29" s="32"/>
      <c r="D29" s="32"/>
      <c r="E29" s="33"/>
      <c r="F29" s="41" t="s">
        <v>9</v>
      </c>
      <c r="G29" s="40">
        <f>SUM(G26:G28)</f>
        <v>336.29999999999995</v>
      </c>
    </row>
    <row r="30" spans="1:7" ht="30" hidden="1" customHeight="1" x14ac:dyDescent="0.3">
      <c r="F30" s="5"/>
      <c r="G30" s="6"/>
    </row>
    <row r="31" spans="1:7" ht="30" customHeight="1" x14ac:dyDescent="0.3">
      <c r="C31" s="46"/>
      <c r="D31" s="46"/>
      <c r="E31" s="46"/>
      <c r="F31" s="46"/>
      <c r="G31" s="46"/>
    </row>
    <row r="32" spans="1:7" ht="30" customHeight="1" x14ac:dyDescent="0.3">
      <c r="C32" s="46"/>
      <c r="D32" s="46"/>
      <c r="E32" s="46"/>
      <c r="F32" s="46"/>
      <c r="G32" s="46"/>
    </row>
  </sheetData>
  <mergeCells count="11">
    <mergeCell ref="C32:G32"/>
    <mergeCell ref="C31:G31"/>
    <mergeCell ref="C25:G25"/>
    <mergeCell ref="H1:I1"/>
    <mergeCell ref="F1:G1"/>
    <mergeCell ref="C13:G13"/>
    <mergeCell ref="A7:C7"/>
    <mergeCell ref="B8:C8"/>
    <mergeCell ref="B9:C9"/>
    <mergeCell ref="B10:C10"/>
    <mergeCell ref="B11:C11"/>
  </mergeCells>
  <phoneticPr fontId="0" type="noConversion"/>
  <dataValidations count="1">
    <dataValidation allowBlank="1" showInputMessage="1" showErrorMessage="1" prompt="Enter Company slogan in this cell" sqref="E1" xr:uid="{00000000-0002-0000-0000-000004000000}"/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64" orientation="portrait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C03383-1C50-43DB-9F17-80279CC917B2}">
          <x14:formula1>
            <xm:f>stock!$D$4:$D$570</xm:f>
          </x14:formula1>
          <xm:sqref>C16:C24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29F99-E4AF-454A-85A0-C703E07C6C9D}">
  <sheetPr codeName="Sheet3"/>
  <dimension ref="C3:H108"/>
  <sheetViews>
    <sheetView workbookViewId="0">
      <selection activeCell="J99" sqref="J99"/>
    </sheetView>
  </sheetViews>
  <sheetFormatPr defaultRowHeight="14.4" x14ac:dyDescent="0.3"/>
  <cols>
    <col min="4" max="4" width="22.6640625" customWidth="1"/>
    <col min="5" max="5" width="11.6640625" customWidth="1"/>
    <col min="6" max="6" width="19.21875" customWidth="1"/>
    <col min="7" max="7" width="13.21875" customWidth="1"/>
  </cols>
  <sheetData>
    <row r="3" spans="3:8" x14ac:dyDescent="0.3">
      <c r="C3" s="18" t="s">
        <v>11</v>
      </c>
      <c r="D3" s="18" t="s">
        <v>2</v>
      </c>
      <c r="E3" s="24" t="s">
        <v>12</v>
      </c>
      <c r="F3" s="19" t="s">
        <v>4</v>
      </c>
      <c r="G3" s="19" t="s">
        <v>6</v>
      </c>
      <c r="H3" s="25" t="s">
        <v>3</v>
      </c>
    </row>
    <row r="4" spans="3:8" x14ac:dyDescent="0.3">
      <c r="D4" s="26" t="s">
        <v>13</v>
      </c>
      <c r="E4" s="26">
        <v>84821010</v>
      </c>
      <c r="F4" s="26"/>
      <c r="G4" s="26">
        <v>8.5</v>
      </c>
    </row>
    <row r="5" spans="3:8" x14ac:dyDescent="0.3">
      <c r="D5" s="26" t="s">
        <v>14</v>
      </c>
      <c r="E5" s="26">
        <v>85015110</v>
      </c>
      <c r="F5" s="26"/>
      <c r="G5" s="26">
        <v>285</v>
      </c>
    </row>
    <row r="6" spans="3:8" x14ac:dyDescent="0.3">
      <c r="D6" s="26" t="s">
        <v>15</v>
      </c>
      <c r="E6" s="26">
        <v>40169300</v>
      </c>
      <c r="F6" s="26"/>
      <c r="G6" s="26">
        <v>32.450000000000003</v>
      </c>
    </row>
    <row r="7" spans="3:8" x14ac:dyDescent="0.3">
      <c r="D7" s="26" t="s">
        <v>16</v>
      </c>
      <c r="E7" s="26">
        <v>85318090</v>
      </c>
      <c r="F7" s="26"/>
      <c r="G7" s="26">
        <v>38.75</v>
      </c>
    </row>
    <row r="8" spans="3:8" x14ac:dyDescent="0.3">
      <c r="D8" s="26" t="s">
        <v>17</v>
      </c>
      <c r="E8" s="26">
        <v>84123100</v>
      </c>
      <c r="F8" s="26"/>
      <c r="G8" s="26">
        <v>89</v>
      </c>
    </row>
    <row r="9" spans="3:8" x14ac:dyDescent="0.3">
      <c r="D9" s="26" t="s">
        <v>18</v>
      </c>
      <c r="E9" s="26">
        <v>40103990</v>
      </c>
      <c r="F9" s="26"/>
      <c r="G9" s="26">
        <v>12.3</v>
      </c>
    </row>
    <row r="10" spans="3:8" x14ac:dyDescent="0.3">
      <c r="D10" s="26" t="s">
        <v>19</v>
      </c>
      <c r="E10" s="26">
        <v>85362010</v>
      </c>
      <c r="F10" s="26"/>
      <c r="G10" s="26">
        <v>24.5</v>
      </c>
    </row>
    <row r="11" spans="3:8" x14ac:dyDescent="0.3">
      <c r="D11" s="26" t="s">
        <v>20</v>
      </c>
      <c r="E11" s="26">
        <v>84136010</v>
      </c>
      <c r="F11" s="26"/>
      <c r="G11" s="26">
        <v>420</v>
      </c>
    </row>
    <row r="12" spans="3:8" x14ac:dyDescent="0.3">
      <c r="D12" s="26" t="s">
        <v>21</v>
      </c>
      <c r="E12" s="26">
        <v>85371090</v>
      </c>
      <c r="F12" s="26"/>
      <c r="G12" s="26">
        <v>525</v>
      </c>
    </row>
    <row r="13" spans="3:8" x14ac:dyDescent="0.3">
      <c r="D13" s="26" t="s">
        <v>22</v>
      </c>
      <c r="E13" s="26">
        <v>84818010</v>
      </c>
      <c r="F13" s="26"/>
      <c r="G13" s="26">
        <v>67.8</v>
      </c>
    </row>
    <row r="14" spans="3:8" x14ac:dyDescent="0.3">
      <c r="D14" s="26" t="s">
        <v>23</v>
      </c>
      <c r="E14" s="26">
        <v>84839000</v>
      </c>
      <c r="F14" s="26"/>
      <c r="G14" s="26">
        <v>28.9</v>
      </c>
    </row>
    <row r="15" spans="3:8" x14ac:dyDescent="0.3">
      <c r="D15" s="26" t="s">
        <v>24</v>
      </c>
      <c r="E15" s="26">
        <v>85044090</v>
      </c>
      <c r="F15" s="26"/>
      <c r="G15" s="26">
        <v>650</v>
      </c>
    </row>
    <row r="16" spans="3:8" x14ac:dyDescent="0.3">
      <c r="D16" s="26" t="s">
        <v>25</v>
      </c>
      <c r="E16" s="26">
        <v>40092200</v>
      </c>
      <c r="F16" s="26"/>
      <c r="G16" s="26">
        <v>33.200000000000003</v>
      </c>
    </row>
    <row r="17" spans="4:7" x14ac:dyDescent="0.3">
      <c r="D17" s="26" t="s">
        <v>26</v>
      </c>
      <c r="E17" s="26">
        <v>85176290</v>
      </c>
      <c r="F17" s="26"/>
      <c r="G17" s="26">
        <v>850</v>
      </c>
    </row>
    <row r="18" spans="4:7" x14ac:dyDescent="0.3">
      <c r="D18" s="26" t="s">
        <v>27</v>
      </c>
      <c r="E18" s="26">
        <v>84213900</v>
      </c>
      <c r="F18" s="26"/>
      <c r="G18" s="26">
        <v>18.5</v>
      </c>
    </row>
    <row r="19" spans="4:7" x14ac:dyDescent="0.3">
      <c r="D19" s="26" t="s">
        <v>28</v>
      </c>
      <c r="E19" s="26">
        <v>84836000</v>
      </c>
      <c r="F19" s="26"/>
      <c r="G19" s="26">
        <v>56.75</v>
      </c>
    </row>
    <row r="20" spans="4:7" x14ac:dyDescent="0.3">
      <c r="D20" s="26" t="s">
        <v>29</v>
      </c>
      <c r="E20" s="26">
        <v>85364900</v>
      </c>
      <c r="F20" s="26"/>
      <c r="G20" s="26">
        <v>48.9</v>
      </c>
    </row>
    <row r="21" spans="4:7" x14ac:dyDescent="0.3">
      <c r="D21" s="26" t="s">
        <v>30</v>
      </c>
      <c r="E21" s="26">
        <v>90251900</v>
      </c>
      <c r="F21" s="26"/>
      <c r="G21" s="26">
        <v>185</v>
      </c>
    </row>
    <row r="22" spans="4:7" x14ac:dyDescent="0.3">
      <c r="D22" s="26" t="s">
        <v>31</v>
      </c>
      <c r="E22" s="26">
        <v>84814010</v>
      </c>
      <c r="F22" s="26"/>
      <c r="G22" s="26">
        <v>42.3</v>
      </c>
    </row>
    <row r="23" spans="4:7" x14ac:dyDescent="0.3">
      <c r="D23" s="26" t="s">
        <v>32</v>
      </c>
      <c r="E23" s="26">
        <v>85365090</v>
      </c>
      <c r="F23" s="26"/>
      <c r="G23" s="26">
        <v>22.8</v>
      </c>
    </row>
    <row r="24" spans="4:7" x14ac:dyDescent="0.3">
      <c r="D24" s="26" t="s">
        <v>33</v>
      </c>
      <c r="E24" s="26">
        <v>84822000</v>
      </c>
      <c r="F24" s="26"/>
      <c r="G24" s="26">
        <v>45.6</v>
      </c>
    </row>
    <row r="25" spans="4:7" x14ac:dyDescent="0.3">
      <c r="D25" s="26" t="s">
        <v>34</v>
      </c>
      <c r="E25" s="26">
        <v>85015190</v>
      </c>
      <c r="F25" s="26"/>
      <c r="G25" s="26">
        <v>125</v>
      </c>
    </row>
    <row r="26" spans="4:7" x14ac:dyDescent="0.3">
      <c r="D26" s="26" t="s">
        <v>35</v>
      </c>
      <c r="E26" s="26">
        <v>73079900</v>
      </c>
      <c r="F26" s="26"/>
      <c r="G26" s="26">
        <v>8.75</v>
      </c>
    </row>
    <row r="27" spans="4:7" x14ac:dyDescent="0.3">
      <c r="D27" s="26" t="s">
        <v>36</v>
      </c>
      <c r="E27" s="26">
        <v>85437090</v>
      </c>
      <c r="F27" s="26"/>
      <c r="G27" s="26">
        <v>95</v>
      </c>
    </row>
    <row r="28" spans="4:7" x14ac:dyDescent="0.3">
      <c r="D28" s="26" t="s">
        <v>37</v>
      </c>
      <c r="E28" s="26">
        <v>84213920</v>
      </c>
      <c r="F28" s="26"/>
      <c r="G28" s="26">
        <v>120</v>
      </c>
    </row>
    <row r="29" spans="4:7" x14ac:dyDescent="0.3">
      <c r="D29" s="26" t="s">
        <v>38</v>
      </c>
      <c r="E29" s="26">
        <v>40103920</v>
      </c>
      <c r="F29" s="26"/>
      <c r="G29" s="26">
        <v>28.4</v>
      </c>
    </row>
    <row r="30" spans="4:7" x14ac:dyDescent="0.3">
      <c r="D30" s="26" t="s">
        <v>39</v>
      </c>
      <c r="E30" s="26">
        <v>85364910</v>
      </c>
      <c r="F30" s="26"/>
      <c r="G30" s="26">
        <v>14.25</v>
      </c>
    </row>
    <row r="31" spans="4:7" x14ac:dyDescent="0.3">
      <c r="D31" s="26" t="s">
        <v>40</v>
      </c>
      <c r="E31" s="26">
        <v>84123110</v>
      </c>
      <c r="F31" s="26"/>
      <c r="G31" s="26">
        <v>325</v>
      </c>
    </row>
    <row r="32" spans="4:7" x14ac:dyDescent="0.3">
      <c r="D32" s="26" t="s">
        <v>41</v>
      </c>
      <c r="E32" s="26">
        <v>85044010</v>
      </c>
      <c r="F32" s="26"/>
      <c r="G32" s="26">
        <v>380</v>
      </c>
    </row>
    <row r="33" spans="4:7" x14ac:dyDescent="0.3">
      <c r="D33" s="26" t="s">
        <v>42</v>
      </c>
      <c r="E33" s="26">
        <v>84818020</v>
      </c>
      <c r="F33" s="26"/>
      <c r="G33" s="26">
        <v>55</v>
      </c>
    </row>
    <row r="34" spans="4:7" x14ac:dyDescent="0.3">
      <c r="D34" s="26" t="s">
        <v>43</v>
      </c>
      <c r="E34" s="26">
        <v>84833000</v>
      </c>
      <c r="F34" s="26"/>
      <c r="G34" s="26">
        <v>145</v>
      </c>
    </row>
    <row r="35" spans="4:7" x14ac:dyDescent="0.3">
      <c r="D35" s="26" t="s">
        <v>44</v>
      </c>
      <c r="E35" s="26">
        <v>85043100</v>
      </c>
      <c r="F35" s="26"/>
      <c r="G35" s="26">
        <v>89.9</v>
      </c>
    </row>
    <row r="36" spans="4:7" x14ac:dyDescent="0.3">
      <c r="D36" s="26" t="s">
        <v>45</v>
      </c>
      <c r="E36" s="26">
        <v>40169310</v>
      </c>
      <c r="F36" s="26"/>
      <c r="G36" s="26">
        <v>15.75</v>
      </c>
    </row>
    <row r="37" spans="4:7" x14ac:dyDescent="0.3">
      <c r="D37" s="26" t="s">
        <v>46</v>
      </c>
      <c r="E37" s="26">
        <v>85318010</v>
      </c>
      <c r="F37" s="26"/>
      <c r="G37" s="26">
        <v>42.5</v>
      </c>
    </row>
    <row r="38" spans="4:7" x14ac:dyDescent="0.3">
      <c r="D38" s="26" t="s">
        <v>47</v>
      </c>
      <c r="E38" s="26">
        <v>40091200</v>
      </c>
      <c r="F38" s="26"/>
      <c r="G38" s="26">
        <v>1.2</v>
      </c>
    </row>
    <row r="39" spans="4:7" x14ac:dyDescent="0.3">
      <c r="D39" s="26" t="s">
        <v>48</v>
      </c>
      <c r="E39" s="26">
        <v>84834090</v>
      </c>
      <c r="F39" s="26"/>
      <c r="G39" s="26">
        <v>215</v>
      </c>
    </row>
    <row r="40" spans="4:7" x14ac:dyDescent="0.3">
      <c r="D40" s="26" t="s">
        <v>49</v>
      </c>
      <c r="E40" s="26">
        <v>85365010</v>
      </c>
      <c r="F40" s="26"/>
      <c r="G40" s="26">
        <v>6.8</v>
      </c>
    </row>
    <row r="41" spans="4:7" x14ac:dyDescent="0.3">
      <c r="D41" s="26" t="s">
        <v>50</v>
      </c>
      <c r="E41" s="26">
        <v>84122990</v>
      </c>
      <c r="F41" s="26"/>
      <c r="G41" s="26">
        <v>850</v>
      </c>
    </row>
    <row r="42" spans="4:7" x14ac:dyDescent="0.3">
      <c r="D42" s="26" t="s">
        <v>51</v>
      </c>
      <c r="E42" s="26">
        <v>85176210</v>
      </c>
      <c r="F42" s="26"/>
      <c r="G42" s="26">
        <v>425</v>
      </c>
    </row>
    <row r="43" spans="4:7" x14ac:dyDescent="0.3">
      <c r="D43" s="26" t="s">
        <v>52</v>
      </c>
      <c r="E43" s="26">
        <v>84148010</v>
      </c>
      <c r="F43" s="26"/>
      <c r="G43" s="26">
        <v>28.9</v>
      </c>
    </row>
    <row r="44" spans="4:7" x14ac:dyDescent="0.3">
      <c r="D44" s="26" t="s">
        <v>53</v>
      </c>
      <c r="E44" s="26">
        <v>84839010</v>
      </c>
      <c r="F44" s="26"/>
      <c r="G44" s="26">
        <v>4.25</v>
      </c>
    </row>
    <row r="45" spans="4:7" x14ac:dyDescent="0.3">
      <c r="D45" s="26" t="s">
        <v>54</v>
      </c>
      <c r="E45" s="26">
        <v>85322500</v>
      </c>
      <c r="F45" s="26"/>
      <c r="G45" s="26">
        <v>8.9</v>
      </c>
    </row>
    <row r="46" spans="4:7" x14ac:dyDescent="0.3">
      <c r="D46" s="26" t="s">
        <v>55</v>
      </c>
      <c r="E46" s="26">
        <v>39191090</v>
      </c>
      <c r="F46" s="26"/>
      <c r="G46" s="26">
        <v>2.5</v>
      </c>
    </row>
    <row r="47" spans="4:7" x14ac:dyDescent="0.3">
      <c r="D47" s="26" t="s">
        <v>56</v>
      </c>
      <c r="E47" s="26">
        <v>90318090</v>
      </c>
      <c r="F47" s="26"/>
      <c r="G47" s="26">
        <v>65</v>
      </c>
    </row>
    <row r="48" spans="4:7" x14ac:dyDescent="0.3">
      <c r="D48" s="26" t="s">
        <v>57</v>
      </c>
      <c r="E48" s="26">
        <v>84661000</v>
      </c>
      <c r="F48" s="26"/>
      <c r="G48" s="26">
        <v>22.4</v>
      </c>
    </row>
    <row r="49" spans="4:7" x14ac:dyDescent="0.3">
      <c r="D49" s="26" t="s">
        <v>58</v>
      </c>
      <c r="E49" s="26">
        <v>84283300</v>
      </c>
      <c r="F49" s="26"/>
      <c r="G49" s="26">
        <v>35</v>
      </c>
    </row>
    <row r="50" spans="4:7" x14ac:dyDescent="0.3">
      <c r="D50" s="26" t="s">
        <v>59</v>
      </c>
      <c r="E50" s="26">
        <v>90321000</v>
      </c>
      <c r="F50" s="26"/>
      <c r="G50" s="26">
        <v>78.5</v>
      </c>
    </row>
    <row r="51" spans="4:7" x14ac:dyDescent="0.3">
      <c r="D51" s="26" t="s">
        <v>60</v>
      </c>
      <c r="E51" s="26">
        <v>84123120</v>
      </c>
      <c r="F51" s="26"/>
      <c r="G51" s="26">
        <v>95</v>
      </c>
    </row>
    <row r="52" spans="4:7" x14ac:dyDescent="0.3">
      <c r="D52" s="26" t="s">
        <v>61</v>
      </c>
      <c r="E52" s="26">
        <v>85013100</v>
      </c>
      <c r="F52" s="26"/>
      <c r="G52" s="26">
        <v>45.6</v>
      </c>
    </row>
    <row r="53" spans="4:7" x14ac:dyDescent="0.3">
      <c r="D53" s="26" t="s">
        <v>62</v>
      </c>
      <c r="E53" s="26">
        <v>73079100</v>
      </c>
      <c r="F53" s="26"/>
      <c r="G53" s="26">
        <v>18.75</v>
      </c>
    </row>
    <row r="54" spans="4:7" x14ac:dyDescent="0.3">
      <c r="D54" s="26" t="s">
        <v>63</v>
      </c>
      <c r="E54" s="26">
        <v>85319090</v>
      </c>
      <c r="F54" s="26"/>
      <c r="G54" s="26">
        <v>5.25</v>
      </c>
    </row>
    <row r="55" spans="4:7" x14ac:dyDescent="0.3">
      <c r="D55" s="26" t="s">
        <v>64</v>
      </c>
      <c r="E55" s="26">
        <v>84836010</v>
      </c>
      <c r="F55" s="26"/>
      <c r="G55" s="26">
        <v>32</v>
      </c>
    </row>
    <row r="56" spans="4:7" x14ac:dyDescent="0.3">
      <c r="D56" s="26" t="s">
        <v>65</v>
      </c>
      <c r="E56" s="26">
        <v>85044020</v>
      </c>
      <c r="F56" s="26"/>
      <c r="G56" s="26">
        <v>310</v>
      </c>
    </row>
    <row r="57" spans="4:7" x14ac:dyDescent="0.3">
      <c r="D57" s="26" t="s">
        <v>66</v>
      </c>
      <c r="E57" s="26">
        <v>27101990</v>
      </c>
      <c r="F57" s="26"/>
      <c r="G57" s="26">
        <v>12.8</v>
      </c>
    </row>
    <row r="58" spans="4:7" x14ac:dyDescent="0.3">
      <c r="D58" s="26" t="s">
        <v>67</v>
      </c>
      <c r="E58" s="26">
        <v>85365030</v>
      </c>
      <c r="F58" s="26"/>
      <c r="G58" s="26">
        <v>27.5</v>
      </c>
    </row>
    <row r="59" spans="4:7" x14ac:dyDescent="0.3">
      <c r="D59" s="26" t="s">
        <v>68</v>
      </c>
      <c r="E59" s="26">
        <v>84828000</v>
      </c>
      <c r="F59" s="26"/>
      <c r="G59" s="26">
        <v>12.4</v>
      </c>
    </row>
    <row r="60" spans="4:7" x14ac:dyDescent="0.3">
      <c r="D60" s="26" t="s">
        <v>69</v>
      </c>
      <c r="E60" s="26">
        <v>85361000</v>
      </c>
      <c r="F60" s="26"/>
      <c r="G60" s="26">
        <v>3.75</v>
      </c>
    </row>
    <row r="61" spans="4:7" x14ac:dyDescent="0.3">
      <c r="D61" s="26" t="s">
        <v>70</v>
      </c>
      <c r="E61" s="26">
        <v>40091210</v>
      </c>
      <c r="F61" s="26"/>
      <c r="G61" s="26">
        <v>2.1</v>
      </c>
    </row>
    <row r="62" spans="4:7" x14ac:dyDescent="0.3">
      <c r="D62" s="26" t="s">
        <v>71</v>
      </c>
      <c r="E62" s="26">
        <v>85015120</v>
      </c>
      <c r="F62" s="26"/>
      <c r="G62" s="26">
        <v>185</v>
      </c>
    </row>
    <row r="63" spans="4:7" x14ac:dyDescent="0.3">
      <c r="D63" s="26" t="s">
        <v>72</v>
      </c>
      <c r="E63" s="26">
        <v>85365040</v>
      </c>
      <c r="F63" s="26"/>
      <c r="G63" s="26">
        <v>35.799999999999997</v>
      </c>
    </row>
    <row r="64" spans="4:7" x14ac:dyDescent="0.3">
      <c r="D64" s="26" t="s">
        <v>73</v>
      </c>
      <c r="E64" s="26">
        <v>84834010</v>
      </c>
      <c r="F64" s="26"/>
      <c r="G64" s="26">
        <v>89</v>
      </c>
    </row>
    <row r="65" spans="4:7" x14ac:dyDescent="0.3">
      <c r="D65" s="26" t="s">
        <v>74</v>
      </c>
      <c r="E65" s="26">
        <v>85043290</v>
      </c>
      <c r="F65" s="26"/>
      <c r="G65" s="26">
        <v>245</v>
      </c>
    </row>
    <row r="66" spans="4:7" x14ac:dyDescent="0.3">
      <c r="D66" s="26" t="s">
        <v>75</v>
      </c>
      <c r="E66" s="26">
        <v>40169320</v>
      </c>
      <c r="F66" s="26"/>
      <c r="G66" s="26">
        <v>0.85</v>
      </c>
    </row>
    <row r="67" spans="4:7" x14ac:dyDescent="0.3">
      <c r="D67" s="26" t="s">
        <v>76</v>
      </c>
      <c r="E67" s="26">
        <v>85318030</v>
      </c>
      <c r="F67" s="26"/>
      <c r="G67" s="26">
        <v>155</v>
      </c>
    </row>
    <row r="68" spans="4:7" x14ac:dyDescent="0.3">
      <c r="D68" s="26" t="s">
        <v>77</v>
      </c>
      <c r="E68" s="26">
        <v>84814020</v>
      </c>
      <c r="F68" s="26"/>
      <c r="G68" s="26">
        <v>38</v>
      </c>
    </row>
    <row r="69" spans="4:7" x14ac:dyDescent="0.3">
      <c r="D69" s="26" t="s">
        <v>78</v>
      </c>
      <c r="E69" s="26">
        <v>84839020</v>
      </c>
      <c r="F69" s="26"/>
      <c r="G69" s="26">
        <v>42.5</v>
      </c>
    </row>
    <row r="70" spans="4:7" x14ac:dyDescent="0.3">
      <c r="D70" s="26" t="s">
        <v>79</v>
      </c>
      <c r="E70" s="26">
        <v>85015130</v>
      </c>
      <c r="F70" s="26"/>
      <c r="G70" s="26">
        <v>420</v>
      </c>
    </row>
    <row r="71" spans="4:7" x14ac:dyDescent="0.3">
      <c r="D71" s="26" t="s">
        <v>80</v>
      </c>
      <c r="E71" s="26">
        <v>84212300</v>
      </c>
      <c r="F71" s="26"/>
      <c r="G71" s="26">
        <v>28.9</v>
      </c>
    </row>
    <row r="72" spans="4:7" x14ac:dyDescent="0.3">
      <c r="D72" s="26" t="s">
        <v>81</v>
      </c>
      <c r="E72" s="26">
        <v>85369010</v>
      </c>
      <c r="F72" s="26"/>
      <c r="G72" s="26">
        <v>8.5</v>
      </c>
    </row>
    <row r="73" spans="4:7" x14ac:dyDescent="0.3">
      <c r="D73" s="26" t="s">
        <v>82</v>
      </c>
      <c r="E73" s="26">
        <v>84819000</v>
      </c>
      <c r="F73" s="26"/>
      <c r="G73" s="26">
        <v>12.75</v>
      </c>
    </row>
    <row r="74" spans="4:7" x14ac:dyDescent="0.3">
      <c r="D74" s="26" t="s">
        <v>83</v>
      </c>
      <c r="E74" s="26">
        <v>84834020</v>
      </c>
      <c r="F74" s="26"/>
      <c r="G74" s="26">
        <v>125</v>
      </c>
    </row>
    <row r="75" spans="4:7" x14ac:dyDescent="0.3">
      <c r="D75" s="26" t="s">
        <v>84</v>
      </c>
      <c r="E75" s="26">
        <v>85363000</v>
      </c>
      <c r="F75" s="26"/>
      <c r="G75" s="26">
        <v>45</v>
      </c>
    </row>
    <row r="76" spans="4:7" x14ac:dyDescent="0.3">
      <c r="D76" s="26" t="s">
        <v>85</v>
      </c>
      <c r="E76" s="26">
        <v>84678900</v>
      </c>
      <c r="F76" s="26"/>
      <c r="G76" s="26">
        <v>28.5</v>
      </c>
    </row>
    <row r="77" spans="4:7" x14ac:dyDescent="0.3">
      <c r="D77" s="26" t="s">
        <v>86</v>
      </c>
      <c r="E77" s="26">
        <v>85044030</v>
      </c>
      <c r="F77" s="26"/>
      <c r="G77" s="26">
        <v>520</v>
      </c>
    </row>
    <row r="78" spans="4:7" x14ac:dyDescent="0.3">
      <c r="D78" s="26" t="s">
        <v>87</v>
      </c>
      <c r="E78" s="26">
        <v>84842000</v>
      </c>
      <c r="F78" s="26"/>
      <c r="G78" s="26">
        <v>45.8</v>
      </c>
    </row>
    <row r="79" spans="4:7" x14ac:dyDescent="0.3">
      <c r="D79" s="26" t="s">
        <v>88</v>
      </c>
      <c r="E79" s="26">
        <v>85365050</v>
      </c>
      <c r="F79" s="26"/>
      <c r="G79" s="26">
        <v>18.899999999999999</v>
      </c>
    </row>
    <row r="80" spans="4:7" x14ac:dyDescent="0.3">
      <c r="D80" s="26" t="s">
        <v>89</v>
      </c>
      <c r="E80" s="26">
        <v>84839030</v>
      </c>
      <c r="F80" s="26"/>
      <c r="G80" s="26">
        <v>24.5</v>
      </c>
    </row>
    <row r="81" spans="4:7" x14ac:dyDescent="0.3">
      <c r="D81" s="26" t="s">
        <v>90</v>
      </c>
      <c r="E81" s="26">
        <v>90251910</v>
      </c>
      <c r="F81" s="26"/>
      <c r="G81" s="26">
        <v>165</v>
      </c>
    </row>
    <row r="82" spans="4:7" x14ac:dyDescent="0.3">
      <c r="D82" s="26" t="s">
        <v>91</v>
      </c>
      <c r="E82" s="26">
        <v>84123130</v>
      </c>
      <c r="F82" s="26"/>
      <c r="G82" s="26">
        <v>110</v>
      </c>
    </row>
    <row r="83" spans="4:7" x14ac:dyDescent="0.3">
      <c r="D83" s="26" t="s">
        <v>92</v>
      </c>
      <c r="E83" s="26">
        <v>85340090</v>
      </c>
      <c r="F83" s="26"/>
      <c r="G83" s="26">
        <v>75</v>
      </c>
    </row>
    <row r="84" spans="4:7" x14ac:dyDescent="0.3">
      <c r="D84" s="26" t="s">
        <v>93</v>
      </c>
      <c r="E84" s="26">
        <v>84819010</v>
      </c>
      <c r="F84" s="26"/>
      <c r="G84" s="26">
        <v>85</v>
      </c>
    </row>
    <row r="85" spans="4:7" x14ac:dyDescent="0.3">
      <c r="D85" s="26" t="s">
        <v>94</v>
      </c>
      <c r="E85" s="26">
        <v>90262000</v>
      </c>
      <c r="F85" s="26"/>
      <c r="G85" s="26">
        <v>32</v>
      </c>
    </row>
    <row r="86" spans="4:7" x14ac:dyDescent="0.3">
      <c r="D86" s="26" t="s">
        <v>95</v>
      </c>
      <c r="E86" s="26">
        <v>90318010</v>
      </c>
      <c r="F86" s="26"/>
      <c r="G86" s="26">
        <v>95</v>
      </c>
    </row>
    <row r="87" spans="4:7" x14ac:dyDescent="0.3">
      <c r="D87" s="26" t="s">
        <v>96</v>
      </c>
      <c r="E87" s="26">
        <v>84818030</v>
      </c>
      <c r="F87" s="26"/>
      <c r="G87" s="26">
        <v>15.8</v>
      </c>
    </row>
    <row r="88" spans="4:7" x14ac:dyDescent="0.3">
      <c r="D88" s="26" t="s">
        <v>97</v>
      </c>
      <c r="E88" s="26">
        <v>85444290</v>
      </c>
      <c r="F88" s="26"/>
      <c r="G88" s="26">
        <v>22.5</v>
      </c>
    </row>
    <row r="89" spans="4:7" x14ac:dyDescent="0.3">
      <c r="D89" s="26" t="s">
        <v>98</v>
      </c>
      <c r="E89" s="26">
        <v>84818040</v>
      </c>
      <c r="F89" s="26"/>
      <c r="G89" s="26">
        <v>34</v>
      </c>
    </row>
    <row r="90" spans="4:7" x14ac:dyDescent="0.3">
      <c r="D90" s="26" t="s">
        <v>99</v>
      </c>
      <c r="E90" s="26">
        <v>27101980</v>
      </c>
      <c r="F90" s="26"/>
      <c r="G90" s="26">
        <v>14.5</v>
      </c>
    </row>
    <row r="91" spans="4:7" x14ac:dyDescent="0.3">
      <c r="D91" s="26" t="s">
        <v>100</v>
      </c>
      <c r="E91" s="26">
        <v>85364920</v>
      </c>
      <c r="F91" s="26"/>
      <c r="G91" s="26">
        <v>58.9</v>
      </c>
    </row>
    <row r="92" spans="4:7" x14ac:dyDescent="0.3">
      <c r="D92" s="26" t="s">
        <v>101</v>
      </c>
      <c r="E92" s="26">
        <v>84833010</v>
      </c>
      <c r="F92" s="26"/>
      <c r="G92" s="26">
        <v>78</v>
      </c>
    </row>
    <row r="93" spans="4:7" x14ac:dyDescent="0.3">
      <c r="D93" s="26" t="s">
        <v>102</v>
      </c>
      <c r="E93" s="26">
        <v>85044040</v>
      </c>
      <c r="F93" s="26"/>
      <c r="G93" s="26">
        <v>45</v>
      </c>
    </row>
    <row r="94" spans="4:7" x14ac:dyDescent="0.3">
      <c r="D94" s="26" t="s">
        <v>103</v>
      </c>
      <c r="E94" s="26">
        <v>40169330</v>
      </c>
      <c r="F94" s="26"/>
      <c r="G94" s="26">
        <v>1.25</v>
      </c>
    </row>
    <row r="95" spans="4:7" x14ac:dyDescent="0.3">
      <c r="D95" s="26" t="s">
        <v>104</v>
      </c>
      <c r="E95" s="26">
        <v>85318040</v>
      </c>
      <c r="F95" s="26"/>
      <c r="G95" s="26">
        <v>28</v>
      </c>
    </row>
    <row r="96" spans="4:7" x14ac:dyDescent="0.3">
      <c r="D96" s="26" t="s">
        <v>105</v>
      </c>
      <c r="E96" s="26">
        <v>84213930</v>
      </c>
      <c r="F96" s="26"/>
      <c r="G96" s="26">
        <v>65</v>
      </c>
    </row>
    <row r="97" spans="4:7" x14ac:dyDescent="0.3">
      <c r="D97" s="26" t="s">
        <v>106</v>
      </c>
      <c r="E97" s="26">
        <v>73158200</v>
      </c>
      <c r="F97" s="26"/>
      <c r="G97" s="26">
        <v>3.5</v>
      </c>
    </row>
    <row r="98" spans="4:7" x14ac:dyDescent="0.3">
      <c r="D98" s="26" t="s">
        <v>107</v>
      </c>
      <c r="E98" s="26">
        <v>85444990</v>
      </c>
      <c r="F98" s="26"/>
      <c r="G98" s="26">
        <v>38</v>
      </c>
    </row>
    <row r="99" spans="4:7" x14ac:dyDescent="0.3">
      <c r="D99" s="26" t="s">
        <v>108</v>
      </c>
      <c r="E99" s="26">
        <v>84122100</v>
      </c>
      <c r="F99" s="26"/>
      <c r="G99" s="26">
        <v>850</v>
      </c>
    </row>
    <row r="100" spans="4:7" x14ac:dyDescent="0.3">
      <c r="D100" s="26" t="s">
        <v>109</v>
      </c>
      <c r="E100" s="26">
        <v>85176220</v>
      </c>
      <c r="F100" s="26"/>
      <c r="G100" s="26">
        <v>625</v>
      </c>
    </row>
    <row r="101" spans="4:7" x14ac:dyDescent="0.3">
      <c r="D101" s="26" t="s">
        <v>110</v>
      </c>
      <c r="E101" s="26">
        <v>84818050</v>
      </c>
      <c r="F101" s="26"/>
      <c r="G101" s="26">
        <v>185</v>
      </c>
    </row>
    <row r="102" spans="4:7" x14ac:dyDescent="0.3">
      <c r="D102" s="26" t="s">
        <v>111</v>
      </c>
      <c r="E102" s="26">
        <v>84839900</v>
      </c>
      <c r="F102" s="26"/>
      <c r="G102" s="26">
        <v>22.8</v>
      </c>
    </row>
    <row r="103" spans="4:7" x14ac:dyDescent="0.3">
      <c r="D103" s="26" t="s">
        <v>112</v>
      </c>
      <c r="E103" s="26">
        <v>85364930</v>
      </c>
      <c r="F103" s="26"/>
      <c r="G103" s="26">
        <v>125</v>
      </c>
    </row>
    <row r="104" spans="4:7" x14ac:dyDescent="0.3">
      <c r="D104" s="26" t="s">
        <v>113</v>
      </c>
      <c r="E104" s="26">
        <v>85479090</v>
      </c>
      <c r="F104" s="26"/>
      <c r="G104" s="26">
        <v>0.85</v>
      </c>
    </row>
    <row r="105" spans="4:7" x14ac:dyDescent="0.3">
      <c r="D105" s="26" t="s">
        <v>114</v>
      </c>
      <c r="E105" s="26">
        <v>90261000</v>
      </c>
      <c r="F105" s="26"/>
      <c r="G105" s="26">
        <v>95</v>
      </c>
    </row>
    <row r="106" spans="4:7" x14ac:dyDescent="0.3">
      <c r="D106" s="26" t="s">
        <v>115</v>
      </c>
      <c r="E106" s="26">
        <v>84123140</v>
      </c>
      <c r="F106" s="26"/>
      <c r="G106" s="26">
        <v>65</v>
      </c>
    </row>
    <row r="107" spans="4:7" x14ac:dyDescent="0.3">
      <c r="D107" s="26" t="s">
        <v>116</v>
      </c>
      <c r="E107" s="26">
        <v>85364940</v>
      </c>
      <c r="F107" s="26"/>
      <c r="G107" s="26">
        <v>32.5</v>
      </c>
    </row>
    <row r="108" spans="4:7" x14ac:dyDescent="0.3">
      <c r="D108" s="26" t="s">
        <v>117</v>
      </c>
      <c r="E108" s="26">
        <v>84122910</v>
      </c>
      <c r="F108" s="26"/>
      <c r="G108" s="26">
        <v>325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58D6-42D9-4FFE-8553-CCF6E66E7CB8}">
  <sheetPr codeName="Sheet2"/>
  <dimension ref="A2:I16"/>
  <sheetViews>
    <sheetView topLeftCell="A9" workbookViewId="0">
      <selection activeCell="C17" sqref="C17"/>
    </sheetView>
  </sheetViews>
  <sheetFormatPr defaultRowHeight="14.4" x14ac:dyDescent="0.3"/>
  <cols>
    <col min="1" max="1" width="10.88671875" customWidth="1"/>
    <col min="2" max="3" width="17.6640625" customWidth="1"/>
    <col min="4" max="4" width="12.44140625" customWidth="1"/>
    <col min="5" max="5" width="14.21875" customWidth="1"/>
    <col min="6" max="7" width="17.44140625" customWidth="1"/>
    <col min="8" max="8" width="19.6640625" customWidth="1"/>
    <col min="9" max="9" width="12.109375" customWidth="1"/>
  </cols>
  <sheetData>
    <row r="2" spans="1:9" ht="18" x14ac:dyDescent="0.3">
      <c r="A2" s="11"/>
      <c r="B2" s="11"/>
      <c r="C2" s="11"/>
      <c r="D2" s="11"/>
      <c r="E2" s="11"/>
      <c r="F2" s="11"/>
      <c r="G2" s="11"/>
    </row>
    <row r="3" spans="1:9" x14ac:dyDescent="0.3">
      <c r="A3" s="15"/>
      <c r="B3" s="16"/>
      <c r="C3" s="18" t="s">
        <v>11</v>
      </c>
      <c r="D3" s="18" t="s">
        <v>124</v>
      </c>
      <c r="E3" s="18" t="s">
        <v>2</v>
      </c>
      <c r="F3" s="24" t="s">
        <v>12</v>
      </c>
      <c r="G3" s="19" t="s">
        <v>4</v>
      </c>
      <c r="H3" s="19" t="s">
        <v>6</v>
      </c>
      <c r="I3" s="20" t="s">
        <v>3</v>
      </c>
    </row>
    <row r="4" spans="1:9" x14ac:dyDescent="0.3">
      <c r="A4" s="15"/>
      <c r="B4" s="16"/>
      <c r="C4" s="16" t="s">
        <v>125</v>
      </c>
      <c r="D4" s="16">
        <v>0</v>
      </c>
      <c r="E4" s="16" t="s">
        <v>125</v>
      </c>
      <c r="F4" s="16" t="s">
        <v>125</v>
      </c>
      <c r="G4" s="16" t="s">
        <v>125</v>
      </c>
      <c r="H4" s="16" t="s">
        <v>125</v>
      </c>
      <c r="I4" s="16" t="s">
        <v>125</v>
      </c>
    </row>
    <row r="5" spans="1:9" x14ac:dyDescent="0.3">
      <c r="A5" s="15"/>
      <c r="B5" s="17"/>
      <c r="C5">
        <v>1</v>
      </c>
      <c r="D5">
        <v>1</v>
      </c>
      <c r="E5" t="s">
        <v>18</v>
      </c>
      <c r="F5">
        <v>84122910</v>
      </c>
      <c r="G5">
        <v>1</v>
      </c>
      <c r="H5">
        <v>325</v>
      </c>
      <c r="I5">
        <v>325</v>
      </c>
    </row>
    <row r="6" spans="1:9" ht="28.8" x14ac:dyDescent="0.3">
      <c r="C6">
        <v>2</v>
      </c>
      <c r="D6">
        <v>1</v>
      </c>
      <c r="E6" t="s">
        <v>14</v>
      </c>
      <c r="F6">
        <v>85015110</v>
      </c>
      <c r="G6">
        <v>1</v>
      </c>
      <c r="H6">
        <v>285</v>
      </c>
      <c r="I6">
        <v>285</v>
      </c>
    </row>
    <row r="7" spans="1:9" ht="28.8" x14ac:dyDescent="0.3">
      <c r="C7">
        <v>3</v>
      </c>
      <c r="D7">
        <v>1</v>
      </c>
      <c r="E7" t="s">
        <v>19</v>
      </c>
      <c r="F7">
        <v>85015110</v>
      </c>
      <c r="G7">
        <v>1</v>
      </c>
      <c r="H7">
        <v>285</v>
      </c>
      <c r="I7">
        <v>285</v>
      </c>
    </row>
    <row r="8" spans="1:9" ht="28.8" x14ac:dyDescent="0.3">
      <c r="C8">
        <v>1</v>
      </c>
      <c r="D8">
        <v>2</v>
      </c>
      <c r="E8" t="s">
        <v>17</v>
      </c>
      <c r="F8">
        <v>85015110</v>
      </c>
      <c r="G8">
        <v>1</v>
      </c>
      <c r="H8">
        <v>285</v>
      </c>
      <c r="I8">
        <v>285</v>
      </c>
    </row>
    <row r="9" spans="1:9" ht="28.8" x14ac:dyDescent="0.3">
      <c r="C9">
        <v>2</v>
      </c>
      <c r="D9">
        <v>2</v>
      </c>
      <c r="E9" t="s">
        <v>13</v>
      </c>
      <c r="F9">
        <v>85015110</v>
      </c>
      <c r="G9">
        <v>2</v>
      </c>
      <c r="H9">
        <v>285</v>
      </c>
      <c r="I9">
        <v>570</v>
      </c>
    </row>
    <row r="10" spans="1:9" x14ac:dyDescent="0.3">
      <c r="C10">
        <v>3</v>
      </c>
      <c r="D10">
        <v>2</v>
      </c>
      <c r="E10" t="s">
        <v>18</v>
      </c>
      <c r="F10">
        <v>84122910</v>
      </c>
      <c r="G10">
        <v>3</v>
      </c>
      <c r="H10">
        <v>325</v>
      </c>
      <c r="I10">
        <v>975</v>
      </c>
    </row>
    <row r="11" spans="1:9" ht="28.8" x14ac:dyDescent="0.3">
      <c r="C11">
        <v>1</v>
      </c>
      <c r="D11">
        <v>2</v>
      </c>
      <c r="E11" t="s">
        <v>15</v>
      </c>
      <c r="F11">
        <v>85364900</v>
      </c>
      <c r="G11">
        <v>7</v>
      </c>
      <c r="H11">
        <v>48.9</v>
      </c>
      <c r="I11">
        <v>342.3</v>
      </c>
    </row>
    <row r="12" spans="1:9" ht="28.8" x14ac:dyDescent="0.3">
      <c r="C12">
        <v>1</v>
      </c>
      <c r="D12">
        <v>2</v>
      </c>
      <c r="E12" t="s">
        <v>15</v>
      </c>
      <c r="F12">
        <v>85364900</v>
      </c>
      <c r="G12">
        <v>7</v>
      </c>
      <c r="H12">
        <v>48.9</v>
      </c>
      <c r="I12">
        <v>342.3</v>
      </c>
    </row>
    <row r="13" spans="1:9" ht="28.8" x14ac:dyDescent="0.3">
      <c r="C13">
        <v>1</v>
      </c>
      <c r="D13">
        <v>2</v>
      </c>
      <c r="E13" t="s">
        <v>17</v>
      </c>
      <c r="F13">
        <v>85015110</v>
      </c>
      <c r="G13">
        <v>5</v>
      </c>
      <c r="H13">
        <v>285</v>
      </c>
      <c r="I13">
        <v>1425</v>
      </c>
    </row>
    <row r="14" spans="1:9" ht="28.8" x14ac:dyDescent="0.3">
      <c r="C14">
        <v>1</v>
      </c>
      <c r="D14">
        <v>2</v>
      </c>
      <c r="E14" t="s">
        <v>17</v>
      </c>
      <c r="F14">
        <v>85015110</v>
      </c>
      <c r="G14">
        <v>5</v>
      </c>
      <c r="H14">
        <v>285</v>
      </c>
      <c r="I14">
        <v>1425</v>
      </c>
    </row>
    <row r="15" spans="1:9" ht="28.8" x14ac:dyDescent="0.3">
      <c r="C15">
        <v>1</v>
      </c>
      <c r="D15">
        <v>3</v>
      </c>
      <c r="E15" t="s">
        <v>15</v>
      </c>
      <c r="F15">
        <v>85364900</v>
      </c>
      <c r="G15">
        <v>1</v>
      </c>
      <c r="H15">
        <v>48.9</v>
      </c>
      <c r="I15">
        <v>48.9</v>
      </c>
    </row>
    <row r="16" spans="1:9" x14ac:dyDescent="0.3">
      <c r="C16" t="s">
        <v>123</v>
      </c>
      <c r="D16" t="s">
        <v>123</v>
      </c>
      <c r="F16" t="s">
        <v>123</v>
      </c>
      <c r="H16" t="s">
        <v>123</v>
      </c>
      <c r="I16" t="s">
        <v>123</v>
      </c>
    </row>
  </sheetData>
  <phoneticPr fontId="16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49BFF-1926-42C0-AFB0-04CE078DA4DC}">
  <sheetPr codeName="Sheet4"/>
  <dimension ref="A1"/>
  <sheetViews>
    <sheetView workbookViewId="0">
      <selection activeCell="F27" sqref="F27"/>
    </sheetView>
  </sheetViews>
  <sheetFormatPr defaultRowHeight="14.4" x14ac:dyDescent="0.3"/>
  <cols>
    <col min="1" max="1" width="11.88671875" customWidth="1"/>
    <col min="2" max="2" width="13.6640625" customWidth="1"/>
    <col min="3" max="3" width="13" customWidth="1"/>
    <col min="4" max="4" width="14.77734375" customWidth="1"/>
    <col min="5" max="5" width="13.109375" customWidth="1"/>
    <col min="6" max="6" width="11.88671875" customWidth="1"/>
    <col min="7" max="7" width="14.33203125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2684FA4-6CA3-4344-A70B-879507C1280D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2.xml><?xml version="1.0" encoding="utf-8"?>
<ds:datastoreItem xmlns:ds="http://schemas.openxmlformats.org/officeDocument/2006/customXml" ds:itemID="{AD7906DA-2170-4122-8146-D2705AEA2B4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4D6D548-8329-4905-A7DA-7DDD22AD43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TM04068891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tax invoice</vt:lpstr>
      <vt:lpstr>stock</vt:lpstr>
      <vt:lpstr>sales</vt:lpstr>
      <vt:lpstr>blank</vt:lpstr>
      <vt:lpstr>'tax invoice'!Print_Area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2022-11-06T06:01:35Z</dcterms:created>
  <dcterms:modified xsi:type="dcterms:W3CDTF">2025-12-09T07:23:06Z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